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icole/Downloads/"/>
    </mc:Choice>
  </mc:AlternateContent>
  <xr:revisionPtr revIDLastSave="0" documentId="13_ncr:1_{9D906929-4AE1-CE40-9E63-D264E3421EDD}" xr6:coauthVersionLast="47" xr6:coauthVersionMax="47" xr10:uidLastSave="{00000000-0000-0000-0000-000000000000}"/>
  <bookViews>
    <workbookView xWindow="0" yWindow="660" windowWidth="29400" windowHeight="17280" activeTab="7" xr2:uid="{00000000-000D-0000-FFFF-FFFF00000000}"/>
  </bookViews>
  <sheets>
    <sheet name="Lists" sheetId="1" r:id="rId1"/>
    <sheet name="Unit 1 Tracker" sheetId="2" r:id="rId2"/>
    <sheet name="Unit 2 Tracker" sheetId="3" r:id="rId3"/>
    <sheet name="Unit 3 Tracker" sheetId="4" r:id="rId4"/>
    <sheet name="Unit 4 Tracker" sheetId="5" r:id="rId5"/>
    <sheet name="Master Planner" sheetId="6" r:id="rId6"/>
    <sheet name="Graph Tracker" sheetId="7" r:id="rId7"/>
    <sheet name="Tutorial Tracker" sheetId="8" r:id="rId8"/>
    <sheet name="Session Log" sheetId="9" r:id="rId9"/>
    <sheet name="Weak Spots" sheetId="10" r:id="rId10"/>
    <sheet name="Readiness" sheetId="11" r:id="rId11"/>
    <sheet name="Action Queue" sheetId="12" r:id="rId12"/>
    <sheet name="Dashboard" sheetId="13" r:id="rId13"/>
    <sheet name="Exam Toolkit" sheetId="14" r:id="rId14"/>
    <sheet name="Template Guide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13" l="1"/>
  <c r="L23" i="13"/>
  <c r="K23" i="13"/>
  <c r="J23" i="13"/>
  <c r="G23" i="13"/>
  <c r="A23" i="13"/>
  <c r="N22" i="13"/>
  <c r="L22" i="13"/>
  <c r="K22" i="13"/>
  <c r="J22" i="13"/>
  <c r="G22" i="13"/>
  <c r="N21" i="13"/>
  <c r="L21" i="13"/>
  <c r="K21" i="13"/>
  <c r="J21" i="13"/>
  <c r="G21" i="13"/>
  <c r="D21" i="13"/>
  <c r="B21" i="13"/>
  <c r="N20" i="13"/>
  <c r="L20" i="13"/>
  <c r="K20" i="13"/>
  <c r="J20" i="13"/>
  <c r="G20" i="13"/>
  <c r="C20" i="13"/>
  <c r="N19" i="13"/>
  <c r="L19" i="13"/>
  <c r="K19" i="13"/>
  <c r="J19" i="13"/>
  <c r="H19" i="13"/>
  <c r="G19" i="13"/>
  <c r="P16" i="13"/>
  <c r="P15" i="13"/>
  <c r="A15" i="13"/>
  <c r="P14" i="13"/>
  <c r="F14" i="13"/>
  <c r="A14" i="13"/>
  <c r="F13" i="13"/>
  <c r="A13" i="13"/>
  <c r="P12" i="13"/>
  <c r="A12" i="13"/>
  <c r="J5" i="13"/>
  <c r="H24" i="12"/>
  <c r="D24" i="12"/>
  <c r="C24" i="12"/>
  <c r="B24" i="12"/>
  <c r="A24" i="12"/>
  <c r="H23" i="12"/>
  <c r="D23" i="12"/>
  <c r="C23" i="12"/>
  <c r="B23" i="12"/>
  <c r="A23" i="12"/>
  <c r="H22" i="12"/>
  <c r="D22" i="12"/>
  <c r="C22" i="12"/>
  <c r="B22" i="12"/>
  <c r="A22" i="12"/>
  <c r="H21" i="12"/>
  <c r="D21" i="12"/>
  <c r="C21" i="12"/>
  <c r="B21" i="12"/>
  <c r="A21" i="12"/>
  <c r="H20" i="12"/>
  <c r="D20" i="12"/>
  <c r="C20" i="12"/>
  <c r="B20" i="12"/>
  <c r="A20" i="12"/>
  <c r="H19" i="12"/>
  <c r="D19" i="12"/>
  <c r="C19" i="12"/>
  <c r="B19" i="12"/>
  <c r="A19" i="12"/>
  <c r="H18" i="12"/>
  <c r="D18" i="12"/>
  <c r="C18" i="12"/>
  <c r="B18" i="12"/>
  <c r="A18" i="12"/>
  <c r="H17" i="12"/>
  <c r="D17" i="12"/>
  <c r="C17" i="12"/>
  <c r="B17" i="12"/>
  <c r="A17" i="12"/>
  <c r="H16" i="12"/>
  <c r="D16" i="12"/>
  <c r="C16" i="12"/>
  <c r="B16" i="12"/>
  <c r="A16" i="12"/>
  <c r="H15" i="12"/>
  <c r="D15" i="12"/>
  <c r="C15" i="12"/>
  <c r="B15" i="12"/>
  <c r="A15" i="12"/>
  <c r="H14" i="12"/>
  <c r="D14" i="12"/>
  <c r="C14" i="12"/>
  <c r="B14" i="12"/>
  <c r="A14" i="12"/>
  <c r="H13" i="12"/>
  <c r="D13" i="12"/>
  <c r="C13" i="12"/>
  <c r="B13" i="12"/>
  <c r="A13" i="12"/>
  <c r="H12" i="12"/>
  <c r="D12" i="12"/>
  <c r="C12" i="12"/>
  <c r="B12" i="12"/>
  <c r="A12" i="12"/>
  <c r="H11" i="12"/>
  <c r="D11" i="12"/>
  <c r="C11" i="12"/>
  <c r="B11" i="12"/>
  <c r="A11" i="12"/>
  <c r="H10" i="12"/>
  <c r="D10" i="12"/>
  <c r="C10" i="12"/>
  <c r="B10" i="12"/>
  <c r="A10" i="12"/>
  <c r="H9" i="12"/>
  <c r="H23" i="13" s="1"/>
  <c r="D9" i="12"/>
  <c r="D23" i="13" s="1"/>
  <c r="C9" i="12"/>
  <c r="C23" i="13" s="1"/>
  <c r="B9" i="12"/>
  <c r="B23" i="13" s="1"/>
  <c r="A9" i="12"/>
  <c r="H8" i="12"/>
  <c r="H22" i="13" s="1"/>
  <c r="D8" i="12"/>
  <c r="D22" i="13" s="1"/>
  <c r="C8" i="12"/>
  <c r="C22" i="13" s="1"/>
  <c r="B8" i="12"/>
  <c r="B22" i="13" s="1"/>
  <c r="A8" i="12"/>
  <c r="A22" i="13" s="1"/>
  <c r="H7" i="12"/>
  <c r="H21" i="13" s="1"/>
  <c r="D7" i="12"/>
  <c r="C7" i="12"/>
  <c r="C21" i="13" s="1"/>
  <c r="B7" i="12"/>
  <c r="A7" i="12"/>
  <c r="A21" i="13" s="1"/>
  <c r="H6" i="12"/>
  <c r="H20" i="13" s="1"/>
  <c r="D6" i="12"/>
  <c r="D20" i="13" s="1"/>
  <c r="C6" i="12"/>
  <c r="B6" i="12"/>
  <c r="B20" i="13" s="1"/>
  <c r="A6" i="12"/>
  <c r="A20" i="13" s="1"/>
  <c r="H5" i="12"/>
  <c r="D5" i="12"/>
  <c r="D19" i="13" s="1"/>
  <c r="C5" i="12"/>
  <c r="C19" i="13" s="1"/>
  <c r="B5" i="12"/>
  <c r="B19" i="13" s="1"/>
  <c r="A5" i="12"/>
  <c r="A19" i="13" s="1"/>
  <c r="K8" i="11"/>
  <c r="K15" i="13" s="1"/>
  <c r="I8" i="11"/>
  <c r="I15" i="13" s="1"/>
  <c r="H8" i="11"/>
  <c r="H15" i="13" s="1"/>
  <c r="G8" i="11"/>
  <c r="G15" i="13" s="1"/>
  <c r="F8" i="11"/>
  <c r="D8" i="11"/>
  <c r="D15" i="13" s="1"/>
  <c r="K7" i="11"/>
  <c r="K14" i="13" s="1"/>
  <c r="I7" i="11"/>
  <c r="I14" i="13" s="1"/>
  <c r="H7" i="11"/>
  <c r="H14" i="13" s="1"/>
  <c r="G7" i="11"/>
  <c r="G14" i="13" s="1"/>
  <c r="F7" i="11"/>
  <c r="D7" i="11"/>
  <c r="D14" i="13" s="1"/>
  <c r="K6" i="11"/>
  <c r="K13" i="13" s="1"/>
  <c r="I6" i="11"/>
  <c r="I13" i="13" s="1"/>
  <c r="H6" i="11"/>
  <c r="H13" i="13" s="1"/>
  <c r="G6" i="11"/>
  <c r="G13" i="13" s="1"/>
  <c r="F6" i="11"/>
  <c r="D6" i="11"/>
  <c r="D13" i="13" s="1"/>
  <c r="K5" i="11"/>
  <c r="K12" i="13" s="1"/>
  <c r="I5" i="11"/>
  <c r="I12" i="13" s="1"/>
  <c r="H5" i="11"/>
  <c r="H12" i="13" s="1"/>
  <c r="G5" i="11"/>
  <c r="G12" i="13" s="1"/>
  <c r="F5" i="11"/>
  <c r="F12" i="13" s="1"/>
  <c r="D5" i="11"/>
  <c r="D12" i="13" s="1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AD41" i="6"/>
  <c r="AC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AE41" i="6" s="1"/>
  <c r="G41" i="6"/>
  <c r="F41" i="6"/>
  <c r="E41" i="6"/>
  <c r="D41" i="6"/>
  <c r="C41" i="6"/>
  <c r="B41" i="6"/>
  <c r="A41" i="6"/>
  <c r="AE40" i="6"/>
  <c r="AD40" i="6"/>
  <c r="AC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AE39" i="6"/>
  <c r="AD39" i="6"/>
  <c r="AC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AD38" i="6"/>
  <c r="AC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AE38" i="6" s="1"/>
  <c r="G38" i="6"/>
  <c r="F38" i="6"/>
  <c r="E38" i="6"/>
  <c r="D38" i="6"/>
  <c r="C38" i="6"/>
  <c r="B38" i="6"/>
  <c r="A38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AE37" i="6" s="1"/>
  <c r="G37" i="6"/>
  <c r="F37" i="6"/>
  <c r="E37" i="6"/>
  <c r="D37" i="6"/>
  <c r="C37" i="6"/>
  <c r="B37" i="6"/>
  <c r="A37" i="6"/>
  <c r="AD36" i="6"/>
  <c r="AC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AE36" i="6" s="1"/>
  <c r="G36" i="6"/>
  <c r="F36" i="6"/>
  <c r="E36" i="6"/>
  <c r="D36" i="6"/>
  <c r="C36" i="6"/>
  <c r="B36" i="6"/>
  <c r="A36" i="6"/>
  <c r="AE35" i="6"/>
  <c r="AD35" i="6"/>
  <c r="AC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AE34" i="6"/>
  <c r="AD34" i="6"/>
  <c r="AC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AD33" i="6"/>
  <c r="AC33" i="6"/>
  <c r="AA33" i="6"/>
  <c r="AF33" i="6" s="1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AE33" i="6" s="1"/>
  <c r="G33" i="6"/>
  <c r="F33" i="6"/>
  <c r="E33" i="6"/>
  <c r="D33" i="6"/>
  <c r="C33" i="6"/>
  <c r="B33" i="6"/>
  <c r="A33" i="6"/>
  <c r="AD32" i="6"/>
  <c r="AC32" i="6"/>
  <c r="AA32" i="6"/>
  <c r="AF32" i="6" s="1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AE32" i="6" s="1"/>
  <c r="G32" i="6"/>
  <c r="F32" i="6"/>
  <c r="E32" i="6"/>
  <c r="D32" i="6"/>
  <c r="C32" i="6"/>
  <c r="B32" i="6"/>
  <c r="A32" i="6"/>
  <c r="AD31" i="6"/>
  <c r="AC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AE31" i="6" s="1"/>
  <c r="G31" i="6"/>
  <c r="F31" i="6"/>
  <c r="E31" i="6"/>
  <c r="D31" i="6"/>
  <c r="C31" i="6"/>
  <c r="B31" i="6"/>
  <c r="A31" i="6"/>
  <c r="AE30" i="6"/>
  <c r="AD30" i="6"/>
  <c r="AC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AE29" i="6"/>
  <c r="AD29" i="6"/>
  <c r="AC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AD28" i="6"/>
  <c r="AC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AE28" i="6" s="1"/>
  <c r="G28" i="6"/>
  <c r="F28" i="6"/>
  <c r="E28" i="6"/>
  <c r="D28" i="6"/>
  <c r="C28" i="6"/>
  <c r="B28" i="6"/>
  <c r="A28" i="6"/>
  <c r="AD27" i="6"/>
  <c r="AC27" i="6"/>
  <c r="AB27" i="6"/>
  <c r="AA27" i="6"/>
  <c r="AF27" i="6" s="1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AE27" i="6" s="1"/>
  <c r="G27" i="6"/>
  <c r="F27" i="6"/>
  <c r="E27" i="6"/>
  <c r="D27" i="6"/>
  <c r="C27" i="6"/>
  <c r="B27" i="6"/>
  <c r="A27" i="6"/>
  <c r="AD26" i="6"/>
  <c r="AC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AE26" i="6" s="1"/>
  <c r="G26" i="6"/>
  <c r="F26" i="6"/>
  <c r="E26" i="6"/>
  <c r="D26" i="6"/>
  <c r="C26" i="6"/>
  <c r="B26" i="6"/>
  <c r="A26" i="6"/>
  <c r="AE25" i="6"/>
  <c r="AD25" i="6"/>
  <c r="AC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AE24" i="6"/>
  <c r="AD24" i="6"/>
  <c r="AC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AD23" i="6"/>
  <c r="AC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AE23" i="6" s="1"/>
  <c r="G23" i="6"/>
  <c r="F23" i="6"/>
  <c r="E23" i="6"/>
  <c r="D23" i="6"/>
  <c r="C23" i="6"/>
  <c r="B23" i="6"/>
  <c r="A23" i="6"/>
  <c r="AD22" i="6"/>
  <c r="AC22" i="6"/>
  <c r="AA22" i="6"/>
  <c r="AF22" i="6" s="1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AE22" i="6" s="1"/>
  <c r="G22" i="6"/>
  <c r="F22" i="6"/>
  <c r="E22" i="6"/>
  <c r="D22" i="6"/>
  <c r="C22" i="6"/>
  <c r="B22" i="6"/>
  <c r="A22" i="6"/>
  <c r="AD21" i="6"/>
  <c r="AC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AE21" i="6" s="1"/>
  <c r="G21" i="6"/>
  <c r="F21" i="6"/>
  <c r="E21" i="6"/>
  <c r="D21" i="6"/>
  <c r="C21" i="6"/>
  <c r="B21" i="6"/>
  <c r="A21" i="6"/>
  <c r="AE20" i="6"/>
  <c r="AD20" i="6"/>
  <c r="AC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AE19" i="6"/>
  <c r="AD19" i="6"/>
  <c r="AC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AD18" i="6"/>
  <c r="AC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AE18" i="6" s="1"/>
  <c r="G18" i="6"/>
  <c r="F18" i="6"/>
  <c r="E18" i="6"/>
  <c r="D18" i="6"/>
  <c r="C18" i="6"/>
  <c r="B18" i="6"/>
  <c r="A18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AE17" i="6" s="1"/>
  <c r="G17" i="6"/>
  <c r="F17" i="6"/>
  <c r="E17" i="6"/>
  <c r="D17" i="6"/>
  <c r="C17" i="6"/>
  <c r="B17" i="6"/>
  <c r="A17" i="6"/>
  <c r="AD16" i="6"/>
  <c r="AC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AE16" i="6" s="1"/>
  <c r="G16" i="6"/>
  <c r="F16" i="6"/>
  <c r="E16" i="6"/>
  <c r="D16" i="6"/>
  <c r="C16" i="6"/>
  <c r="B16" i="6"/>
  <c r="A16" i="6"/>
  <c r="AE15" i="6"/>
  <c r="AD15" i="6"/>
  <c r="AC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AE14" i="6"/>
  <c r="AD14" i="6"/>
  <c r="AC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AD13" i="6"/>
  <c r="AC13" i="6"/>
  <c r="AA13" i="6"/>
  <c r="AF13" i="6" s="1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AE13" i="6" s="1"/>
  <c r="G13" i="6"/>
  <c r="F13" i="6"/>
  <c r="E13" i="6"/>
  <c r="D13" i="6"/>
  <c r="C13" i="6"/>
  <c r="B13" i="6"/>
  <c r="A13" i="6"/>
  <c r="AD12" i="6"/>
  <c r="AC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AE12" i="6" s="1"/>
  <c r="G12" i="6"/>
  <c r="F12" i="6"/>
  <c r="E12" i="6"/>
  <c r="D12" i="6"/>
  <c r="C12" i="6"/>
  <c r="B12" i="6"/>
  <c r="A12" i="6"/>
  <c r="AD11" i="6"/>
  <c r="AC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AE11" i="6" s="1"/>
  <c r="G11" i="6"/>
  <c r="F11" i="6"/>
  <c r="E11" i="6"/>
  <c r="D11" i="6"/>
  <c r="C11" i="6"/>
  <c r="B11" i="6"/>
  <c r="A11" i="6"/>
  <c r="AE10" i="6"/>
  <c r="AD10" i="6"/>
  <c r="AC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AE9" i="6"/>
  <c r="AD9" i="6"/>
  <c r="AC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AD8" i="6"/>
  <c r="AC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AE8" i="6" s="1"/>
  <c r="G8" i="6"/>
  <c r="F8" i="6"/>
  <c r="E8" i="6"/>
  <c r="D8" i="6"/>
  <c r="C8" i="6"/>
  <c r="B8" i="6"/>
  <c r="A8" i="6"/>
  <c r="AD7" i="6"/>
  <c r="AC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AE7" i="6" s="1"/>
  <c r="G7" i="6"/>
  <c r="F7" i="6"/>
  <c r="E7" i="6"/>
  <c r="D7" i="6"/>
  <c r="C7" i="6"/>
  <c r="B7" i="6"/>
  <c r="A7" i="6"/>
  <c r="AD6" i="6"/>
  <c r="AC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AE6" i="6" s="1"/>
  <c r="G6" i="6"/>
  <c r="F6" i="6"/>
  <c r="E6" i="6"/>
  <c r="D6" i="6"/>
  <c r="C6" i="6"/>
  <c r="B6" i="6"/>
  <c r="A6" i="6"/>
  <c r="AE5" i="6"/>
  <c r="AD5" i="6"/>
  <c r="AC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AB15" i="5"/>
  <c r="AB41" i="6" s="1"/>
  <c r="AA15" i="5"/>
  <c r="E6" i="12" s="1"/>
  <c r="E20" i="13" s="1"/>
  <c r="Z15" i="5"/>
  <c r="Z41" i="6" s="1"/>
  <c r="AA14" i="5"/>
  <c r="AA40" i="6" s="1"/>
  <c r="AF40" i="6" s="1"/>
  <c r="Z14" i="5"/>
  <c r="AB14" i="5" s="1"/>
  <c r="AB40" i="6" s="1"/>
  <c r="AA13" i="5"/>
  <c r="AA39" i="6" s="1"/>
  <c r="AF39" i="6" s="1"/>
  <c r="Z13" i="5"/>
  <c r="Z39" i="6" s="1"/>
  <c r="AA12" i="5"/>
  <c r="AA38" i="6" s="1"/>
  <c r="Z12" i="5"/>
  <c r="AB11" i="5"/>
  <c r="AA11" i="5"/>
  <c r="Z11" i="5"/>
  <c r="AA10" i="5"/>
  <c r="AA36" i="6" s="1"/>
  <c r="Z10" i="5"/>
  <c r="Z36" i="6" s="1"/>
  <c r="AA9" i="5"/>
  <c r="AA35" i="6" s="1"/>
  <c r="AF35" i="6" s="1"/>
  <c r="Z9" i="5"/>
  <c r="Z35" i="6" s="1"/>
  <c r="AB8" i="5"/>
  <c r="AB34" i="6" s="1"/>
  <c r="AA8" i="5"/>
  <c r="E16" i="12" s="1"/>
  <c r="Z8" i="5"/>
  <c r="F16" i="12" s="1"/>
  <c r="AA7" i="5"/>
  <c r="E15" i="12" s="1"/>
  <c r="Z7" i="5"/>
  <c r="AB7" i="5" s="1"/>
  <c r="AB33" i="6" s="1"/>
  <c r="AA6" i="5"/>
  <c r="E22" i="12" s="1"/>
  <c r="Z6" i="5"/>
  <c r="AB6" i="5" s="1"/>
  <c r="AB32" i="6" s="1"/>
  <c r="AB5" i="5"/>
  <c r="AA5" i="5"/>
  <c r="E23" i="12" s="1"/>
  <c r="Z5" i="5"/>
  <c r="F23" i="12" s="1"/>
  <c r="AA12" i="4"/>
  <c r="AA30" i="6" s="1"/>
  <c r="AF30" i="6" s="1"/>
  <c r="Z12" i="4"/>
  <c r="AB12" i="4" s="1"/>
  <c r="AB30" i="6" s="1"/>
  <c r="AB11" i="4"/>
  <c r="AB29" i="6" s="1"/>
  <c r="AA11" i="4"/>
  <c r="E13" i="12" s="1"/>
  <c r="Z11" i="4"/>
  <c r="F13" i="12" s="1"/>
  <c r="AA10" i="4"/>
  <c r="AA28" i="6" s="1"/>
  <c r="AF28" i="6" s="1"/>
  <c r="Z10" i="4"/>
  <c r="AB9" i="4"/>
  <c r="AA9" i="4"/>
  <c r="E7" i="12" s="1"/>
  <c r="E21" i="13" s="1"/>
  <c r="Z9" i="4"/>
  <c r="F7" i="12" s="1"/>
  <c r="F21" i="13" s="1"/>
  <c r="AA8" i="4"/>
  <c r="AA26" i="6" s="1"/>
  <c r="Z8" i="4"/>
  <c r="Z26" i="6" s="1"/>
  <c r="AA7" i="4"/>
  <c r="E10" i="12" s="1"/>
  <c r="Z7" i="4"/>
  <c r="F10" i="12" s="1"/>
  <c r="AB6" i="4"/>
  <c r="AB24" i="6" s="1"/>
  <c r="AA6" i="4"/>
  <c r="M23" i="13" s="1"/>
  <c r="Z6" i="4"/>
  <c r="F9" i="12" s="1"/>
  <c r="F23" i="13" s="1"/>
  <c r="AA5" i="4"/>
  <c r="E7" i="11" s="1"/>
  <c r="Z5" i="4"/>
  <c r="B7" i="11" s="1"/>
  <c r="B14" i="13" s="1"/>
  <c r="AA13" i="3"/>
  <c r="Z13" i="3"/>
  <c r="AB13" i="3" s="1"/>
  <c r="AB22" i="6" s="1"/>
  <c r="AB12" i="3"/>
  <c r="AB21" i="6" s="1"/>
  <c r="AA12" i="3"/>
  <c r="AA21" i="6" s="1"/>
  <c r="AF21" i="6" s="1"/>
  <c r="Z12" i="3"/>
  <c r="Z21" i="6" s="1"/>
  <c r="AA11" i="3"/>
  <c r="AA20" i="6" s="1"/>
  <c r="AF20" i="6" s="1"/>
  <c r="Z11" i="3"/>
  <c r="AB11" i="3" s="1"/>
  <c r="AB20" i="6" s="1"/>
  <c r="AA10" i="3"/>
  <c r="E11" i="12" s="1"/>
  <c r="Z10" i="3"/>
  <c r="Z19" i="6" s="1"/>
  <c r="AA9" i="3"/>
  <c r="AA18" i="6" s="1"/>
  <c r="AF18" i="6" s="1"/>
  <c r="Z9" i="3"/>
  <c r="AB8" i="3"/>
  <c r="AA8" i="3"/>
  <c r="E17" i="12" s="1"/>
  <c r="Z8" i="3"/>
  <c r="F17" i="12" s="1"/>
  <c r="AA7" i="3"/>
  <c r="AA16" i="6" s="1"/>
  <c r="AF16" i="6" s="1"/>
  <c r="Z7" i="3"/>
  <c r="Z16" i="6" s="1"/>
  <c r="AA6" i="3"/>
  <c r="AA15" i="6" s="1"/>
  <c r="AF15" i="6" s="1"/>
  <c r="Z6" i="3"/>
  <c r="Z15" i="6" s="1"/>
  <c r="AB5" i="3"/>
  <c r="AA5" i="3"/>
  <c r="E6" i="11" s="1"/>
  <c r="Z5" i="3"/>
  <c r="B6" i="11" s="1"/>
  <c r="B13" i="13" s="1"/>
  <c r="AA13" i="2"/>
  <c r="E24" i="12" s="1"/>
  <c r="Z13" i="2"/>
  <c r="F24" i="12" s="1"/>
  <c r="AA12" i="2"/>
  <c r="E14" i="12" s="1"/>
  <c r="Z12" i="2"/>
  <c r="F14" i="12" s="1"/>
  <c r="AA11" i="2"/>
  <c r="AA11" i="6" s="1"/>
  <c r="Z11" i="2"/>
  <c r="Z11" i="6" s="1"/>
  <c r="AA10" i="2"/>
  <c r="E20" i="12" s="1"/>
  <c r="Z10" i="2"/>
  <c r="F20" i="12" s="1"/>
  <c r="AA9" i="2"/>
  <c r="AA9" i="6" s="1"/>
  <c r="Z9" i="2"/>
  <c r="AA8" i="2"/>
  <c r="AA8" i="6" s="1"/>
  <c r="Z8" i="2"/>
  <c r="AA7" i="2"/>
  <c r="AB7" i="2" s="1"/>
  <c r="AB7" i="6" s="1"/>
  <c r="Z7" i="2"/>
  <c r="AA6" i="2"/>
  <c r="AA6" i="6" s="1"/>
  <c r="Z6" i="2"/>
  <c r="Z6" i="6" s="1"/>
  <c r="AA5" i="2"/>
  <c r="Z5" i="2"/>
  <c r="Z5" i="6" s="1"/>
  <c r="AA12" i="6" l="1"/>
  <c r="AF12" i="6" s="1"/>
  <c r="AB11" i="2"/>
  <c r="AB11" i="6" s="1"/>
  <c r="AF9" i="6"/>
  <c r="AB9" i="2"/>
  <c r="AB9" i="6" s="1"/>
  <c r="AF8" i="6"/>
  <c r="AA7" i="6"/>
  <c r="AF7" i="6" s="1"/>
  <c r="E5" i="11"/>
  <c r="E12" i="13" s="1"/>
  <c r="AF37" i="6"/>
  <c r="AF38" i="6"/>
  <c r="AF26" i="6"/>
  <c r="AF17" i="6"/>
  <c r="AF23" i="6"/>
  <c r="AF36" i="6"/>
  <c r="J7" i="11"/>
  <c r="E14" i="13"/>
  <c r="AF6" i="6"/>
  <c r="AF11" i="6"/>
  <c r="E13" i="13"/>
  <c r="J6" i="11"/>
  <c r="E8" i="11"/>
  <c r="E15" i="13" s="1"/>
  <c r="F6" i="12"/>
  <c r="F20" i="13" s="1"/>
  <c r="E9" i="12"/>
  <c r="E23" i="13" s="1"/>
  <c r="E19" i="12"/>
  <c r="M21" i="13"/>
  <c r="E12" i="12"/>
  <c r="F19" i="12"/>
  <c r="E5" i="12"/>
  <c r="E19" i="13" s="1"/>
  <c r="F12" i="12"/>
  <c r="F22" i="12"/>
  <c r="F5" i="12"/>
  <c r="F19" i="13" s="1"/>
  <c r="E8" i="12"/>
  <c r="E22" i="13" s="1"/>
  <c r="F15" i="12"/>
  <c r="E18" i="12"/>
  <c r="M22" i="13"/>
  <c r="AB31" i="6"/>
  <c r="AB8" i="2"/>
  <c r="AB8" i="6" s="1"/>
  <c r="AB9" i="3"/>
  <c r="AB18" i="6" s="1"/>
  <c r="AB10" i="4"/>
  <c r="AB28" i="6" s="1"/>
  <c r="AB12" i="5"/>
  <c r="AB38" i="6" s="1"/>
  <c r="AB6" i="3"/>
  <c r="AB15" i="6" s="1"/>
  <c r="Z9" i="6"/>
  <c r="Z29" i="6"/>
  <c r="AB8" i="4"/>
  <c r="AB26" i="6" s="1"/>
  <c r="AA19" i="6"/>
  <c r="AF19" i="6" s="1"/>
  <c r="AA29" i="6"/>
  <c r="AF29" i="6" s="1"/>
  <c r="AA34" i="6"/>
  <c r="AF34" i="6" s="1"/>
  <c r="B5" i="11"/>
  <c r="B12" i="13" s="1"/>
  <c r="F8" i="12"/>
  <c r="F22" i="13" s="1"/>
  <c r="F18" i="12"/>
  <c r="E21" i="12"/>
  <c r="F15" i="13"/>
  <c r="M19" i="13"/>
  <c r="AB6" i="2"/>
  <c r="AB6" i="6" s="1"/>
  <c r="AB7" i="3"/>
  <c r="AB16" i="6" s="1"/>
  <c r="AB10" i="5"/>
  <c r="AB36" i="6" s="1"/>
  <c r="AA14" i="6"/>
  <c r="AF14" i="6" s="1"/>
  <c r="AA24" i="6"/>
  <c r="AF24" i="6" s="1"/>
  <c r="AB13" i="2"/>
  <c r="AB13" i="6" s="1"/>
  <c r="F11" i="12"/>
  <c r="F21" i="12"/>
  <c r="AB5" i="2"/>
  <c r="AB7" i="4"/>
  <c r="AB25" i="6" s="1"/>
  <c r="AB9" i="5"/>
  <c r="AB35" i="6" s="1"/>
  <c r="AB12" i="2"/>
  <c r="AB12" i="6" s="1"/>
  <c r="AB5" i="4"/>
  <c r="Z10" i="6"/>
  <c r="AB14" i="6"/>
  <c r="Z20" i="6"/>
  <c r="Z25" i="6"/>
  <c r="Z30" i="6"/>
  <c r="Z40" i="6"/>
  <c r="AB10" i="2"/>
  <c r="AB10" i="6" s="1"/>
  <c r="AA5" i="6"/>
  <c r="AA10" i="6"/>
  <c r="AF10" i="6" s="1"/>
  <c r="AA25" i="6"/>
  <c r="AF25" i="6" s="1"/>
  <c r="AB10" i="3"/>
  <c r="AB19" i="6" s="1"/>
  <c r="AB13" i="5"/>
  <c r="AB39" i="6" s="1"/>
  <c r="Z31" i="6"/>
  <c r="B8" i="11"/>
  <c r="B15" i="13" s="1"/>
  <c r="M20" i="13"/>
  <c r="AA31" i="6"/>
  <c r="AF31" i="6" s="1"/>
  <c r="AA41" i="6"/>
  <c r="AF41" i="6" s="1"/>
  <c r="J5" i="11" l="1"/>
  <c r="L5" i="11" s="1"/>
  <c r="L12" i="13" s="1"/>
  <c r="A5" i="13"/>
  <c r="AF5" i="6"/>
  <c r="L7" i="11"/>
  <c r="L14" i="13" s="1"/>
  <c r="J14" i="13"/>
  <c r="L6" i="11"/>
  <c r="L13" i="13" s="1"/>
  <c r="J13" i="13"/>
  <c r="C6" i="11"/>
  <c r="C13" i="13" s="1"/>
  <c r="AB5" i="6"/>
  <c r="C5" i="11"/>
  <c r="J8" i="11"/>
  <c r="AB23" i="6"/>
  <c r="C7" i="11"/>
  <c r="C14" i="13" s="1"/>
  <c r="C8" i="11"/>
  <c r="C15" i="13" s="1"/>
  <c r="J12" i="13" l="1"/>
  <c r="J15" i="13"/>
  <c r="L8" i="11"/>
  <c r="L15" i="13" s="1"/>
  <c r="P13" i="13"/>
  <c r="C12" i="13"/>
  <c r="F29" i="13" l="1"/>
  <c r="F28" i="13"/>
</calcChain>
</file>

<file path=xl/sharedStrings.xml><?xml version="1.0" encoding="utf-8"?>
<sst xmlns="http://schemas.openxmlformats.org/spreadsheetml/2006/main" count="1490" uniqueCount="439">
  <si>
    <t>Tracker Lists</t>
  </si>
  <si>
    <t>Validation lists used across the workbook.</t>
  </si>
  <si>
    <t>Status</t>
  </si>
  <si>
    <t>Yes/No</t>
  </si>
  <si>
    <t>Priority</t>
  </si>
  <si>
    <t>Source</t>
  </si>
  <si>
    <t>Colour stage</t>
  </si>
  <si>
    <t>Assessment tag</t>
  </si>
  <si>
    <t>Method</t>
  </si>
  <si>
    <t>Energy</t>
  </si>
  <si>
    <t>Not started</t>
  </si>
  <si>
    <t>No</t>
  </si>
  <si>
    <t>Critical</t>
  </si>
  <si>
    <t>Textbook</t>
  </si>
  <si>
    <t>Purple</t>
  </si>
  <si>
    <t>A1</t>
  </si>
  <si>
    <t>Read</t>
  </si>
  <si>
    <t>Low</t>
  </si>
  <si>
    <t>Planned</t>
  </si>
  <si>
    <t>Yes</t>
  </si>
  <si>
    <t>High</t>
  </si>
  <si>
    <t>Slides</t>
  </si>
  <si>
    <t>Dark Blue</t>
  </si>
  <si>
    <t>A2</t>
  </si>
  <si>
    <t>Paper notes</t>
  </si>
  <si>
    <t>Medium</t>
  </si>
  <si>
    <t>Reading</t>
  </si>
  <si>
    <t>Tutorial</t>
  </si>
  <si>
    <t>Light Blue</t>
  </si>
  <si>
    <t>Both</t>
  </si>
  <si>
    <t>Self-explain x1</t>
  </si>
  <si>
    <t>Paper notes done</t>
  </si>
  <si>
    <t>Graph</t>
  </si>
  <si>
    <t>Dark Green</t>
  </si>
  <si>
    <t>Optional</t>
  </si>
  <si>
    <t>Self-explain x2</t>
  </si>
  <si>
    <t>Parking Lot</t>
  </si>
  <si>
    <t>Merged</t>
  </si>
  <si>
    <t>Pastel Green</t>
  </si>
  <si>
    <t>Teach-back</t>
  </si>
  <si>
    <t>Own notes</t>
  </si>
  <si>
    <t>Pastel Yellow</t>
  </si>
  <si>
    <t>Tutorial practice</t>
  </si>
  <si>
    <t>Teach-back done</t>
  </si>
  <si>
    <t>Assessment scope</t>
  </si>
  <si>
    <t>Orange</t>
  </si>
  <si>
    <t>Graph drill</t>
  </si>
  <si>
    <t>Tutorial done</t>
  </si>
  <si>
    <t>Past paper</t>
  </si>
  <si>
    <t>Red</t>
  </si>
  <si>
    <t>Mixed revision</t>
  </si>
  <si>
    <t>Graphs mastered</t>
  </si>
  <si>
    <t>Class note</t>
  </si>
  <si>
    <t>Pink</t>
  </si>
  <si>
    <t>Mock test</t>
  </si>
  <si>
    <t>Unit 1 — major-topic tracker</t>
  </si>
  <si>
    <t>Main editable tracker: use the stage columns for execution and the time estimates for day planning.</t>
  </si>
  <si>
    <t>Topic ID</t>
  </si>
  <si>
    <t>Unit</t>
  </si>
  <si>
    <t>Topic / subtopic</t>
  </si>
  <si>
    <t>Section colour</t>
  </si>
  <si>
    <t>A1 tag</t>
  </si>
  <si>
    <t>A2 tag</t>
  </si>
  <si>
    <t>Confidence (1-5)</t>
  </si>
  <si>
    <t>Scheduled?</t>
  </si>
  <si>
    <t>Read once?</t>
  </si>
  <si>
    <t>Paper notes?</t>
  </si>
  <si>
    <t>Explain x1?</t>
  </si>
  <si>
    <t>Explain x2?</t>
  </si>
  <si>
    <t>Teach-back?</t>
  </si>
  <si>
    <t>Tutorial done?</t>
  </si>
  <si>
    <t>Graph mastery?</t>
  </si>
  <si>
    <t>Exam ready?</t>
  </si>
  <si>
    <t>Need revisit?</t>
  </si>
  <si>
    <t>Est read mins</t>
  </si>
  <si>
    <t>Est notes mins</t>
  </si>
  <si>
    <t>Est explain mins</t>
  </si>
  <si>
    <t>Est tutorial mins</t>
  </si>
  <si>
    <t>Est graph mins</t>
  </si>
  <si>
    <t>Est total mins</t>
  </si>
  <si>
    <t>Progress %</t>
  </si>
  <si>
    <t>Time remaining mins</t>
  </si>
  <si>
    <t>Next action</t>
  </si>
  <si>
    <t>Notes</t>
  </si>
  <si>
    <t>U1-01</t>
  </si>
  <si>
    <t>Unit 1</t>
  </si>
  <si>
    <t>GDP, GDP per capita, and history's hockey stick</t>
  </si>
  <si>
    <t>Start with definitions + hockey-stick graph</t>
  </si>
  <si>
    <t>U1-02</t>
  </si>
  <si>
    <t>Limits of GDP as a measure of wellbeing</t>
  </si>
  <si>
    <t>List what GDP misses</t>
  </si>
  <si>
    <t>U1-03</t>
  </si>
  <si>
    <t>Climate change and the cost of economic development</t>
  </si>
  <si>
    <t>Tie growth to environmental cost</t>
  </si>
  <si>
    <t>U1-04</t>
  </si>
  <si>
    <t>Between-country and within-country inequality</t>
  </si>
  <si>
    <t>Explain averages vs distribution</t>
  </si>
  <si>
    <t>U1-05</t>
  </si>
  <si>
    <t>Continuous technological revolution</t>
  </si>
  <si>
    <t>Use historical + modern examples</t>
  </si>
  <si>
    <t>U1-06</t>
  </si>
  <si>
    <t>Production function and diminishing average product of labour</t>
  </si>
  <si>
    <t>Separate total output from output per worker</t>
  </si>
  <si>
    <t>U1-07</t>
  </si>
  <si>
    <t>Malthusian trap, subsistence, and technology shock</t>
  </si>
  <si>
    <t>Practise the four-step mechanism aloud</t>
  </si>
  <si>
    <t>U1-08</t>
  </si>
  <si>
    <t>Capitalism, institutions, and structural transformation</t>
  </si>
  <si>
    <t>Use private property + firms + markets</t>
  </si>
  <si>
    <t>U1-09</t>
  </si>
  <si>
    <t>Colonization, varieties of capitalism, and the biosphere</t>
  </si>
  <si>
    <t>Link history, institutions, and environmental limits</t>
  </si>
  <si>
    <t>Unit 2 — major-topic tracker</t>
  </si>
  <si>
    <t>U2-01</t>
  </si>
  <si>
    <t>Unit 2</t>
  </si>
  <si>
    <t>Kutesmart, automation, and the opening technology story</t>
  </si>
  <si>
    <t>Use it as the intuition for the whole unit</t>
  </si>
  <si>
    <t>U2-02</t>
  </si>
  <si>
    <t>Opportunity cost, economic cost, reservation option, and economic rent</t>
  </si>
  <si>
    <t>Practise the Sipho/concert-style logic</t>
  </si>
  <si>
    <t>U2-03</t>
  </si>
  <si>
    <t>Relative prices</t>
  </si>
  <si>
    <t>Compare money price vs relative price</t>
  </si>
  <si>
    <t>U2-04</t>
  </si>
  <si>
    <t>Comparative advantage, specialization, and division of labour</t>
  </si>
  <si>
    <t>Always talk in terms of opportunity cost</t>
  </si>
  <si>
    <t>U2-05</t>
  </si>
  <si>
    <t>Firms, technology, production, and dominated technologies</t>
  </si>
  <si>
    <t>Dominated ≠ cheapest, explain both</t>
  </si>
  <si>
    <t>U2-06</t>
  </si>
  <si>
    <t>Isocost logic and cost-minimizing technology choice</t>
  </si>
  <si>
    <t>Use wage/capital-price changes carefully</t>
  </si>
  <si>
    <t>U2-07</t>
  </si>
  <si>
    <t>Innovation and profit / innovation rents</t>
  </si>
  <si>
    <t>Remember rents are temporary</t>
  </si>
  <si>
    <t>U2-08</t>
  </si>
  <si>
    <t>Cheap coal, expensive labour, and the Industrial Revolution</t>
  </si>
  <si>
    <t>Explain incentives, not just inventions</t>
  </si>
  <si>
    <t>U2-09</t>
  </si>
  <si>
    <t>Escape from the Malthusian trap, growth, and capitalism + carbon</t>
  </si>
  <si>
    <t>Connect back to Unit 1 clearly</t>
  </si>
  <si>
    <t>Unit 3 — major-topic tracker</t>
  </si>
  <si>
    <t>U3-01</t>
  </si>
  <si>
    <t>Unit 3</t>
  </si>
  <si>
    <t>Scarcity and the consumer-choice model</t>
  </si>
  <si>
    <t>Always say preferences + constraints</t>
  </si>
  <si>
    <t>U3-02</t>
  </si>
  <si>
    <t>Preferences, utility, indifference curves, and diminishing MRS</t>
  </si>
  <si>
    <t>Do not let ICs shift when budget changes</t>
  </si>
  <si>
    <t>U3-03</t>
  </si>
  <si>
    <t>Budget constraints, feasible sets, MRT, and relative prices</t>
  </si>
  <si>
    <t>Write the line equation from scratch</t>
  </si>
  <si>
    <t>U3-04</t>
  </si>
  <si>
    <t>Optimal choice and MRS = MRT</t>
  </si>
  <si>
    <t>Explain highest attainable IC</t>
  </si>
  <si>
    <t>U3-05</t>
  </si>
  <si>
    <t>Price effect, income effect, and substitution effect for goods</t>
  </si>
  <si>
    <t>Be able to separate the two effects cleanly</t>
  </si>
  <si>
    <t>U3-06</t>
  </si>
  <si>
    <t>Work, free time, and the labour-supply model</t>
  </si>
  <si>
    <t>Wage is the opportunity cost of free time</t>
  </si>
  <si>
    <t>U3-07</t>
  </si>
  <si>
    <t>Wage changes: income vs substitution effects on hours worked</t>
  </si>
  <si>
    <t>Dominant effect depends on behaviour</t>
  </si>
  <si>
    <t>U3-08</t>
  </si>
  <si>
    <t>Model limits, country differences, and long-run changes in work hours</t>
  </si>
  <si>
    <t>Give one strength and one limitation</t>
  </si>
  <si>
    <t>Unit 4 — major-topic tracker</t>
  </si>
  <si>
    <t>U4-01</t>
  </si>
  <si>
    <t>Unit 4</t>
  </si>
  <si>
    <t>Climate negotiations, social dilemmas, and tragedy of the commons</t>
  </si>
  <si>
    <t>Start with the definition of a social dilemma</t>
  </si>
  <si>
    <t>U4-02</t>
  </si>
  <si>
    <t>Game theory basics: players, strategies, payoffs, information</t>
  </si>
  <si>
    <t>Read matrices carefully before solving</t>
  </si>
  <si>
    <t>U4-03</t>
  </si>
  <si>
    <t>Best responses, invisible-hand games, and Nash equilibrium</t>
  </si>
  <si>
    <t>Best response first, equilibrium second</t>
  </si>
  <si>
    <t>U4-04</t>
  </si>
  <si>
    <t>Dominant strategies and prisoners' dilemmas</t>
  </si>
  <si>
    <t>Show why stable can still be socially bad</t>
  </si>
  <si>
    <t>U4-05</t>
  </si>
  <si>
    <t>Pareto criterion, Pareto efficiency, and fairness</t>
  </si>
  <si>
    <t>Pareto efficient is not the same as fair</t>
  </si>
  <si>
    <t>U4-06</t>
  </si>
  <si>
    <t>Public-good games, free-riding, and Ostrom</t>
  </si>
  <si>
    <t>Common property is not the same as open access</t>
  </si>
  <si>
    <t>U4-07</t>
  </si>
  <si>
    <t>Social preferences: altruism, reciprocity, inequality aversion</t>
  </si>
  <si>
    <t>Explain how utility changes, not just behaviour</t>
  </si>
  <si>
    <t>U4-08</t>
  </si>
  <si>
    <t>Repeated interaction, experiments, punishment, and crowding out</t>
  </si>
  <si>
    <t>Use day-care fine and punishment experiments</t>
  </si>
  <si>
    <t>U4-09</t>
  </si>
  <si>
    <t>Cooperation, negotiation, and conflicts of interest</t>
  </si>
  <si>
    <t>Explain mutual gain vs bargaining over division</t>
  </si>
  <si>
    <t>U4-10</t>
  </si>
  <si>
    <t>Ultimatum game, experiments, expected payoffs, and competition</t>
  </si>
  <si>
    <t>Sequential solve first, then experimental results</t>
  </si>
  <si>
    <t>U4-11</t>
  </si>
  <si>
    <t>Coordination games, hawk–dove, and climate-change modelling</t>
  </si>
  <si>
    <t>Distinguish PD vs coordination vs hawk–dove</t>
  </si>
  <si>
    <t>Master Planner — linked roll-up</t>
  </si>
  <si>
    <t>Read-only consolidation of all unit trackers. Edit the Unit 1–4 sheets, not this one.</t>
  </si>
  <si>
    <t>Priority score</t>
  </si>
  <si>
    <t>Task score</t>
  </si>
  <si>
    <t>Graph Tracker</t>
  </si>
  <si>
    <t>Track whether you can explain each graph, not just recognize it.</t>
  </si>
  <si>
    <t>Graph ID</t>
  </si>
  <si>
    <t>Graph / visual</t>
  </si>
  <si>
    <t>Linked topic</t>
  </si>
  <si>
    <t>Seen?</t>
  </si>
  <si>
    <t>Axes?</t>
  </si>
  <si>
    <t>Shape?</t>
  </si>
  <si>
    <t>Exam meaning?</t>
  </si>
  <si>
    <t>Mastered?</t>
  </si>
  <si>
    <t>Confidence</t>
  </si>
  <si>
    <t>Est mins</t>
  </si>
  <si>
    <t>G-U1-01</t>
  </si>
  <si>
    <t>History's hockey stick</t>
  </si>
  <si>
    <t>G-U1-02</t>
  </si>
  <si>
    <t>Between-country inequality</t>
  </si>
  <si>
    <t>G-U1-03</t>
  </si>
  <si>
    <t>Within-country inequality</t>
  </si>
  <si>
    <t>G-U1-04</t>
  </si>
  <si>
    <t>Climate cost / climate hockey-stick logic</t>
  </si>
  <si>
    <t>G-U1-05</t>
  </si>
  <si>
    <t>Technological revolution examples</t>
  </si>
  <si>
    <t>G-U1-06</t>
  </si>
  <si>
    <t>Production function / diminishing APL</t>
  </si>
  <si>
    <t>G-U1-07</t>
  </si>
  <si>
    <t>Malthusian equilibrium</t>
  </si>
  <si>
    <t>G-U1-08</t>
  </si>
  <si>
    <t>Malthusian technology improvement</t>
  </si>
  <si>
    <t>G-U1-09</t>
  </si>
  <si>
    <t>Structural transformation / non-agricultural labour</t>
  </si>
  <si>
    <t>G-U1-10</t>
  </si>
  <si>
    <t>Biodiversity loss scenarios</t>
  </si>
  <si>
    <t>G-U2-01</t>
  </si>
  <si>
    <t>Real wages and population over time</t>
  </si>
  <si>
    <t>G-U2-02</t>
  </si>
  <si>
    <t>Opportunity cost / economic cost</t>
  </si>
  <si>
    <t>G-U2-03</t>
  </si>
  <si>
    <t>Economic rent / reservation option</t>
  </si>
  <si>
    <t>G-U2-04</t>
  </si>
  <si>
    <t>G-U2-05</t>
  </si>
  <si>
    <t>Comparative advantage</t>
  </si>
  <si>
    <t>G-U2-06</t>
  </si>
  <si>
    <t>Technology comparison / isocost logic</t>
  </si>
  <si>
    <t>G-U3-01</t>
  </si>
  <si>
    <t>Preferences and indifference curves</t>
  </si>
  <si>
    <t>G-U3-02</t>
  </si>
  <si>
    <t>Budget line</t>
  </si>
  <si>
    <t>G-U3-03</t>
  </si>
  <si>
    <t>Consumer choice optimum</t>
  </si>
  <si>
    <t>G-U3-04</t>
  </si>
  <si>
    <t>Price/income/substitution effects for goods</t>
  </si>
  <si>
    <t>G-U3-05</t>
  </si>
  <si>
    <t>Income vs substitution effect on hours</t>
  </si>
  <si>
    <t>G-U4-01</t>
  </si>
  <si>
    <t>Rice–cassava payoff matrix</t>
  </si>
  <si>
    <t>G-U4-02</t>
  </si>
  <si>
    <t>Pest-control payoff matrix</t>
  </si>
  <si>
    <t>G-U4-03</t>
  </si>
  <si>
    <t>Pareto graph</t>
  </si>
  <si>
    <t>G-U4-04</t>
  </si>
  <si>
    <t>Public-goods experiment with punishment</t>
  </si>
  <si>
    <t>G-U4-05</t>
  </si>
  <si>
    <t>Ultimatum game tree</t>
  </si>
  <si>
    <t>G-U4-06</t>
  </si>
  <si>
    <t>Coordination / climate game</t>
  </si>
  <si>
    <t>Tutorial Tracker</t>
  </si>
  <si>
    <t>Track attempts, redos, and whether you extracted teach-back explanations from tutorials.</t>
  </si>
  <si>
    <t>Tutorial ID</t>
  </si>
  <si>
    <t>Tutorial / question cluster</t>
  </si>
  <si>
    <t>Attempted?</t>
  </si>
  <si>
    <t>Redo?</t>
  </si>
  <si>
    <t>Teach-back extracted?</t>
  </si>
  <si>
    <t>T1-01</t>
  </si>
  <si>
    <t>Tutorial 1: definitions + hockey-stick timing</t>
  </si>
  <si>
    <t>T1-02</t>
  </si>
  <si>
    <t>Tutorial 1: capitalism + Malthusian model</t>
  </si>
  <si>
    <t>T2-01</t>
  </si>
  <si>
    <t>Tutorial 2: opportunity cost / rent / relative prices</t>
  </si>
  <si>
    <t>T2-02</t>
  </si>
  <si>
    <t>Tutorial 2: technology choice and labour-price changes</t>
  </si>
  <si>
    <t>T3-01</t>
  </si>
  <si>
    <t>Tutorial 3: ICs, MRS, and budget lines</t>
  </si>
  <si>
    <t>T3-02</t>
  </si>
  <si>
    <t>Tutorial 3: work/free-time and wage effects</t>
  </si>
  <si>
    <t>T4-01</t>
  </si>
  <si>
    <t>Unit 4 matrix drills</t>
  </si>
  <si>
    <t>T4-02</t>
  </si>
  <si>
    <t>Unit 4 Pareto/public goods/ultimatum/climate drills</t>
  </si>
  <si>
    <t>Session Log</t>
  </si>
  <si>
    <t>Log actual study blocks so the workbook can calculate weekly hours and real progress.</t>
  </si>
  <si>
    <t>Date</t>
  </si>
  <si>
    <t>Week start</t>
  </si>
  <si>
    <t>Topic</t>
  </si>
  <si>
    <t>Assessment focus</t>
  </si>
  <si>
    <t>Planned mins</t>
  </si>
  <si>
    <t>Actual mins</t>
  </si>
  <si>
    <t>Confidence after</t>
  </si>
  <si>
    <t>Could teach?</t>
  </si>
  <si>
    <t>Next action / reflection</t>
  </si>
  <si>
    <t>Weak Spots / Mistakes Log</t>
  </si>
  <si>
    <t>Write the reason for the mistake and the corrected explanation so retesting becomes useful.</t>
  </si>
  <si>
    <t>Mistake made</t>
  </si>
  <si>
    <t>Why it happened</t>
  </si>
  <si>
    <t>Corrected explanation</t>
  </si>
  <si>
    <t>Retest date</t>
  </si>
  <si>
    <t>Retested?</t>
  </si>
  <si>
    <t>Assessment</t>
  </si>
  <si>
    <t>Readiness Engine</t>
  </si>
  <si>
    <t>Auto-summary by unit. A2 remains blank until those tags are populated.</t>
  </si>
  <si>
    <t>Estimated hours</t>
  </si>
  <si>
    <t>Remaining hours</t>
  </si>
  <si>
    <t>Hours logged</t>
  </si>
  <si>
    <t>Avg progress</t>
  </si>
  <si>
    <t>Avg confidence</t>
  </si>
  <si>
    <t>Graphs mastered %</t>
  </si>
  <si>
    <t>Tutorials attempted %</t>
  </si>
  <si>
    <t>Exam-ready %</t>
  </si>
  <si>
    <t>A1 readiness</t>
  </si>
  <si>
    <t>A2 readiness</t>
  </si>
  <si>
    <t>Suggested next move</t>
  </si>
  <si>
    <t>Action Queue</t>
  </si>
  <si>
    <t>Starter queue ranked by priority and estimated workload. You can manually re-sort this later if your priorities change.</t>
  </si>
  <si>
    <t>Current progress</t>
  </si>
  <si>
    <t>Est hours</t>
  </si>
  <si>
    <t>Source tracker row</t>
  </si>
  <si>
    <t>Unit 4 Tracker!14</t>
  </si>
  <si>
    <t>Unit 4 Tracker!15</t>
  </si>
  <si>
    <t>Unit 3 Tracker!9</t>
  </si>
  <si>
    <t>Unit 1 Tracker!11</t>
  </si>
  <si>
    <t>Unit 3 Tracker!6</t>
  </si>
  <si>
    <t>Unit 3 Tracker!7</t>
  </si>
  <si>
    <t>Unit 2 Tracker!10</t>
  </si>
  <si>
    <t>Unit 2 Tracker!12</t>
  </si>
  <si>
    <t>Unit 3 Tracker!11</t>
  </si>
  <si>
    <t>Unit 1 Tracker!12</t>
  </si>
  <si>
    <t>Unit 4 Tracker!7</t>
  </si>
  <si>
    <t>Unit 4 Tracker!8</t>
  </si>
  <si>
    <t>Unit 2 Tracker!8</t>
  </si>
  <si>
    <t>Unit 2 Tracker!6</t>
  </si>
  <si>
    <t>Unit 1 Tracker!5</t>
  </si>
  <si>
    <t>Unit 1 Tracker!10</t>
  </si>
  <si>
    <t>Unit 3 Tracker!8</t>
  </si>
  <si>
    <t>Unit 4 Tracker!6</t>
  </si>
  <si>
    <t>Unit 4 Tracker!5</t>
  </si>
  <si>
    <t>Unit 1 Tracker!13</t>
  </si>
  <si>
    <t>ECON 114 Study OS — Units 1 to 4</t>
  </si>
  <si>
    <t>Pastel planning dashboard: completion, logged time, readiness, queue, weak spots, and next moves.</t>
  </si>
  <si>
    <t>Overall % complete</t>
  </si>
  <si>
    <t>Hours studied this week</t>
  </si>
  <si>
    <t>Est hrs</t>
  </si>
  <si>
    <t>Remain hrs</t>
  </si>
  <si>
    <t>Logged hrs</t>
  </si>
  <si>
    <t>Progress</t>
  </si>
  <si>
    <t>Graphs</t>
  </si>
  <si>
    <t>Tutorials</t>
  </si>
  <si>
    <t>Exam-ready</t>
  </si>
  <si>
    <t>Next move</t>
  </si>
  <si>
    <t>Useful extras</t>
  </si>
  <si>
    <t>Weak-spot items open</t>
  </si>
  <si>
    <t>Total hours left</t>
  </si>
  <si>
    <t>Graph mastery overall</t>
  </si>
  <si>
    <t>Tutorials attempted</t>
  </si>
  <si>
    <t>Sessions logged</t>
  </si>
  <si>
    <t>Next best tasks</t>
  </si>
  <si>
    <t>Weakest topics / caution list</t>
  </si>
  <si>
    <t>Use tutorial or teach-back</t>
  </si>
  <si>
    <t>Check graph if relevant</t>
  </si>
  <si>
    <t>Planning helper</t>
  </si>
  <si>
    <t>Planned study hours next 7 days</t>
  </si>
  <si>
    <t>Suggested daily hours</t>
  </si>
  <si>
    <t>Estimated hours left (all units)</t>
  </si>
  <si>
    <t>A1 focus now</t>
  </si>
  <si>
    <t>Units 1–4 currently tagged A1</t>
  </si>
  <si>
    <t>A2 setup</t>
  </si>
  <si>
    <t>Leave A2 tags blank until Unit 5 / scope update</t>
  </si>
  <si>
    <t>Exam Toolkit</t>
  </si>
  <si>
    <t>Short methods for T/F, MCQ, graph questions, and descriptive responses.</t>
  </si>
  <si>
    <t>T/F FAST</t>
  </si>
  <si>
    <t>MCQ ELIMINATION</t>
  </si>
  <si>
    <t>GRAPH CHECKLIST</t>
  </si>
  <si>
    <t>DESCRIPTIVE FRAME</t>
  </si>
  <si>
    <t>1</t>
  </si>
  <si>
    <t>Find the exact word that breaks the statement</t>
  </si>
  <si>
    <t>Eliminate options that are too broad or too absolute</t>
  </si>
  <si>
    <t>Name both axes</t>
  </si>
  <si>
    <t>Define the concept</t>
  </si>
  <si>
    <t>2</t>
  </si>
  <si>
    <t>Check the model assumptions</t>
  </si>
  <si>
    <t>Check graph logic before wording</t>
  </si>
  <si>
    <t>State what moves and what stays fixed</t>
  </si>
  <si>
    <t>State the mechanism</t>
  </si>
  <si>
    <t>3</t>
  </si>
  <si>
    <t>Flip the sentence: what would make it false?</t>
  </si>
  <si>
    <t>Prefer the most precise definition</t>
  </si>
  <si>
    <t>Explain why the curve slopes that way</t>
  </si>
  <si>
    <t>Use the graph or model</t>
  </si>
  <si>
    <t>4</t>
  </si>
  <si>
    <t>Use one textbook reason only</t>
  </si>
  <si>
    <t>Use tutorial wording as calibration</t>
  </si>
  <si>
    <t>State the equilibrium / prediction</t>
  </si>
  <si>
    <t>Apply to the facts</t>
  </si>
  <si>
    <t>5</t>
  </si>
  <si>
    <t>Watch for always / only / all / exact same</t>
  </si>
  <si>
    <t>If two seem right, one is usually less complete</t>
  </si>
  <si>
    <t>Give the exam meaning</t>
  </si>
  <si>
    <t>Conclude tightly</t>
  </si>
  <si>
    <t>Workbook Guide</t>
  </si>
  <si>
    <t>Designed around your study cycle: write notes by hand, explain twice, teach once, then test.</t>
  </si>
  <si>
    <t>Sheet</t>
  </si>
  <si>
    <t>Purpose</t>
  </si>
  <si>
    <t>Workflow</t>
  </si>
  <si>
    <t>Dashboard</t>
  </si>
  <si>
    <t>Big-picture view and planning</t>
  </si>
  <si>
    <t>Open Dashboard and choose 1–3 tasks</t>
  </si>
  <si>
    <t>Unit 1–4 Trackers</t>
  </si>
  <si>
    <t>Main editable topic-by-topic study sheets</t>
  </si>
  <si>
    <t>Work inside the relevant unit tracker</t>
  </si>
  <si>
    <t>Master Planner</t>
  </si>
  <si>
    <t>Linked roll-up from all unit trackers</t>
  </si>
  <si>
    <t>Log the session immediately afterward</t>
  </si>
  <si>
    <t>Graph-specific mastery control</t>
  </si>
  <si>
    <t>Update graph/tutorial sheets if used</t>
  </si>
  <si>
    <t>Application and redo tracking</t>
  </si>
  <si>
    <t>If you made errors, log them in Weak Spots</t>
  </si>
  <si>
    <t>Real time spent and study method</t>
  </si>
  <si>
    <t>6</t>
  </si>
  <si>
    <t>Check Readiness before switching from revision to testing</t>
  </si>
  <si>
    <t>Weak Spots</t>
  </si>
  <si>
    <t>Mistakes, causes, corrected explanations</t>
  </si>
  <si>
    <t>7</t>
  </si>
  <si>
    <t>Add Unit 5 later using the same structure</t>
  </si>
  <si>
    <t>Readiness</t>
  </si>
  <si>
    <t>Per-unit readiness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</si>
</sst>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>
    <font>
      <sz val="11"/>
      <name val="Carlito"/>
    </font>
    <font>
      <b/>
      <sz val="16"/>
      <color rgb="FF312E81"/>
      <name val="Carlito"/>
    </font>
    <font>
      <i/>
      <sz val="10"/>
      <color rgb="FF65758B"/>
      <name val="Carlito"/>
    </font>
    <font>
      <sz val="10"/>
      <color rgb="FF243042"/>
      <name val="Carlito"/>
    </font>
    <font>
      <b/>
      <sz val="10"/>
      <color rgb="FF312E81"/>
      <name val="Carlito"/>
    </font>
    <font>
      <b/>
      <sz val="24"/>
      <color rgb="FF312E8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FFF0F8"/>
      </patternFill>
    </fill>
    <fill>
      <patternFill patternType="solid">
        <fgColor rgb="FFFBFCFE"/>
      </patternFill>
    </fill>
    <fill>
      <patternFill patternType="solid">
        <fgColor rgb="FFF1E8FF"/>
      </patternFill>
    </fill>
    <fill>
      <patternFill patternType="solid">
        <fgColor rgb="FFEAF6FF"/>
      </patternFill>
    </fill>
    <fill>
      <patternFill patternType="solid">
        <fgColor rgb="FFF0FBF4"/>
      </patternFill>
    </fill>
    <fill>
      <patternFill patternType="solid">
        <fgColor rgb="FFFFF1E8"/>
      </patternFill>
    </fill>
    <fill>
      <patternFill patternType="solid">
        <fgColor rgb="FFFFEDEE"/>
      </patternFill>
    </fill>
    <fill>
      <patternFill patternType="solid">
        <fgColor rgb="FFE6EEFF"/>
      </patternFill>
    </fill>
    <fill>
      <patternFill patternType="solid">
        <fgColor rgb="FFFFF9E8"/>
      </patternFill>
    </fill>
    <fill>
      <patternFill patternType="solid">
        <fgColor rgb="FFFFFFFF"/>
      </patternFill>
    </fill>
    <fill>
      <patternFill patternType="solid">
        <fgColor rgb="FFEAF9F0"/>
      </patternFill>
    </fill>
  </fills>
  <borders count="12">
    <border>
      <left/>
      <right/>
      <top/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3" borderId="4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9" fontId="3" fillId="0" borderId="2" xfId="0" applyNumberFormat="1" applyFont="1" applyBorder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9" fontId="3" fillId="0" borderId="7" xfId="0" applyNumberFormat="1" applyFont="1" applyBorder="1" applyAlignment="1">
      <alignment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 wrapText="1"/>
    </xf>
    <xf numFmtId="164" fontId="3" fillId="0" borderId="4" xfId="0" applyNumberFormat="1" applyFont="1" applyBorder="1" applyAlignment="1">
      <alignment vertical="center" wrapText="1"/>
    </xf>
    <xf numFmtId="164" fontId="3" fillId="0" borderId="6" xfId="0" applyNumberFormat="1" applyFont="1" applyBorder="1" applyAlignment="1">
      <alignment vertical="center" wrapText="1"/>
    </xf>
    <xf numFmtId="164" fontId="3" fillId="0" borderId="2" xfId="0" applyNumberFormat="1" applyFont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4" fontId="3" fillId="0" borderId="7" xfId="0" applyNumberFormat="1" applyFont="1" applyBorder="1" applyAlignment="1">
      <alignment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165" fontId="3" fillId="0" borderId="2" xfId="0" applyNumberFormat="1" applyFont="1" applyBorder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165" fontId="3" fillId="0" borderId="7" xfId="0" applyNumberFormat="1" applyFont="1" applyBorder="1" applyAlignment="1">
      <alignment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9" fontId="0" fillId="0" borderId="0" xfId="0" applyNumberFormat="1"/>
    <xf numFmtId="165" fontId="0" fillId="0" borderId="0" xfId="0" applyNumberFormat="1"/>
    <xf numFmtId="0" fontId="1" fillId="4" borderId="0" xfId="0" applyFont="1" applyFill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9" fontId="5" fillId="11" borderId="1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165" fontId="5" fillId="11" borderId="1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left" vertical="center" wrapText="1"/>
    </xf>
  </cellXfs>
  <cellStyles count="1">
    <cellStyle name="Normal" xfId="0" builtinId="0"/>
  </cellStyles>
  <dxfs count="5">
    <dxf>
      <font>
        <b/>
        <color rgb="FF166534"/>
      </font>
      <fill>
        <patternFill patternType="solid">
          <bgColor rgb="FFEAF9F0"/>
        </patternFill>
      </fill>
    </dxf>
    <dxf>
      <font>
        <b/>
        <color rgb="FFC2410C"/>
      </font>
      <fill>
        <patternFill patternType="solid">
          <bgColor rgb="FFFFF1E8"/>
        </patternFill>
      </fill>
    </dxf>
    <dxf>
      <font>
        <b/>
        <color rgb="FFC2410C"/>
      </font>
      <fill>
        <patternFill patternType="solid">
          <bgColor rgb="FFFFF1E8"/>
        </patternFill>
      </fill>
    </dxf>
    <dxf>
      <font>
        <b/>
        <color rgb="FFC2410C"/>
      </font>
      <fill>
        <patternFill patternType="solid">
          <bgColor rgb="FFFFF1E8"/>
        </patternFill>
      </fill>
    </dxf>
    <dxf>
      <font>
        <b/>
        <color rgb="FFC2410C"/>
      </font>
      <fill>
        <patternFill patternType="solid">
          <bgColor rgb="FFFFF1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A1 readiness snapshot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Est hrs</c:v>
          </c:tx>
          <c:invertIfNegative val="1"/>
          <c:cat>
            <c:strRef>
              <c:f>Dashboard!$A$12:$A$15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Dashboard!$B$12:$B$15</c:f>
              <c:numCache>
                <c:formatCode>0.0</c:formatCode>
                <c:ptCount val="4"/>
                <c:pt idx="0">
                  <c:v>16.25</c:v>
                </c:pt>
                <c:pt idx="1">
                  <c:v>16.666666666666668</c:v>
                </c:pt>
                <c:pt idx="2">
                  <c:v>16.333333333333332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D-E045-A47D-7F5A11579D9E}"/>
            </c:ext>
          </c:extLst>
        </c:ser>
        <c:ser>
          <c:idx val="1"/>
          <c:order val="1"/>
          <c:tx>
            <c:v>Remain hrs</c:v>
          </c:tx>
          <c:invertIfNegative val="1"/>
          <c:cat>
            <c:strRef>
              <c:f>Dashboard!$A$12:$A$15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Dashboard!$C$12:$C$15</c:f>
              <c:numCache>
                <c:formatCode>0.0</c:formatCode>
                <c:ptCount val="4"/>
                <c:pt idx="0">
                  <c:v>14.90625</c:v>
                </c:pt>
                <c:pt idx="1">
                  <c:v>16.666666666666668</c:v>
                </c:pt>
                <c:pt idx="2">
                  <c:v>16.333333333333332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D-E045-A47D-7F5A11579D9E}"/>
            </c:ext>
          </c:extLst>
        </c:ser>
        <c:ser>
          <c:idx val="2"/>
          <c:order val="2"/>
          <c:tx>
            <c:v>Logged hrs</c:v>
          </c:tx>
          <c:invertIfNegative val="1"/>
          <c:cat>
            <c:strRef>
              <c:f>Dashboard!$A$12:$A$15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Dashboard!$D$12:$D$15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D-E045-A47D-7F5A11579D9E}"/>
            </c:ext>
          </c:extLst>
        </c:ser>
        <c:ser>
          <c:idx val="3"/>
          <c:order val="3"/>
          <c:tx>
            <c:v>Progress</c:v>
          </c:tx>
          <c:invertIfNegative val="1"/>
          <c:cat>
            <c:strRef>
              <c:f>Dashboard!$A$12:$A$15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Dashboard!$E$12:$E$15</c:f>
              <c:numCache>
                <c:formatCode>0%</c:formatCode>
                <c:ptCount val="4"/>
                <c:pt idx="0">
                  <c:v>9.7222222222222224E-2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ED-E045-A47D-7F5A11579D9E}"/>
            </c:ext>
          </c:extLst>
        </c:ser>
        <c:ser>
          <c:idx val="4"/>
          <c:order val="4"/>
          <c:tx>
            <c:v>Confidence</c:v>
          </c:tx>
          <c:invertIfNegative val="1"/>
          <c:cat>
            <c:strRef>
              <c:f>Dashboard!$A$12:$A$15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Dashboard!$F$12:$F$15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ED-E045-A47D-7F5A11579D9E}"/>
            </c:ext>
          </c:extLst>
        </c:ser>
        <c:ser>
          <c:idx val="5"/>
          <c:order val="5"/>
          <c:tx>
            <c:v>Graphs</c:v>
          </c:tx>
          <c:invertIfNegative val="1"/>
          <c:cat>
            <c:strRef>
              <c:f>Dashboard!$A$12:$A$15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Dashboard!$G$12:$G$15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ED-E045-A47D-7F5A11579D9E}"/>
            </c:ext>
          </c:extLst>
        </c:ser>
        <c:ser>
          <c:idx val="6"/>
          <c:order val="6"/>
          <c:tx>
            <c:v>Tutorials</c:v>
          </c:tx>
          <c:invertIfNegative val="1"/>
          <c:cat>
            <c:strRef>
              <c:f>Dashboard!$A$12:$A$15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Dashboard!$H$12:$H$15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ED-E045-A47D-7F5A11579D9E}"/>
            </c:ext>
          </c:extLst>
        </c:ser>
        <c:ser>
          <c:idx val="7"/>
          <c:order val="7"/>
          <c:tx>
            <c:v>Exam-ready</c:v>
          </c:tx>
          <c:invertIfNegative val="1"/>
          <c:cat>
            <c:strRef>
              <c:f>Dashboard!$A$12:$A$15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Dashboard!$I$12:$I$15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ED-E045-A47D-7F5A11579D9E}"/>
            </c:ext>
          </c:extLst>
        </c:ser>
        <c:ser>
          <c:idx val="8"/>
          <c:order val="8"/>
          <c:tx>
            <c:v>A1 readiness</c:v>
          </c:tx>
          <c:invertIfNegative val="1"/>
          <c:cat>
            <c:strRef>
              <c:f>Dashboard!$A$12:$A$15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Dashboard!$J$12:$J$15</c:f>
              <c:numCache>
                <c:formatCode>0%</c:formatCode>
                <c:ptCount val="4"/>
                <c:pt idx="0">
                  <c:v>5.9444444444444446E-2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ED-E045-A47D-7F5A11579D9E}"/>
            </c:ext>
          </c:extLst>
        </c:ser>
        <c:ser>
          <c:idx val="9"/>
          <c:order val="9"/>
          <c:tx>
            <c:v>A2 readiness</c:v>
          </c:tx>
          <c:invertIfNegative val="1"/>
          <c:cat>
            <c:strRef>
              <c:f>Dashboard!$A$12:$A$15</c:f>
              <c:strCache>
                <c:ptCount val="4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</c:strCache>
            </c:strRef>
          </c:cat>
          <c:val>
            <c:numRef>
              <c:f>Dashboard!$K$12:$K$15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3ED-E045-A47D-7F5A11579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25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workbookViewId="0">
      <selection activeCell="A4" sqref="A4"/>
    </sheetView>
  </sheetViews>
  <sheetFormatPr baseColWidth="10" defaultColWidth="8.83203125" defaultRowHeight="14"/>
  <cols>
    <col min="1" max="1" width="18" customWidth="1"/>
    <col min="2" max="2" width="12" customWidth="1"/>
    <col min="3" max="3" width="14" customWidth="1"/>
    <col min="4" max="5" width="16" customWidth="1"/>
    <col min="6" max="6" width="15" customWidth="1"/>
    <col min="7" max="7" width="18" customWidth="1"/>
    <col min="8" max="8" width="12" customWidth="1"/>
  </cols>
  <sheetData>
    <row r="1" spans="1:16" ht="22.75" customHeight="1">
      <c r="A1" s="56" t="s">
        <v>0</v>
      </c>
      <c r="B1" s="56"/>
      <c r="C1" s="56"/>
      <c r="D1" s="56"/>
      <c r="E1" s="56"/>
      <c r="F1" s="56"/>
      <c r="G1" s="56"/>
      <c r="H1" s="56"/>
    </row>
    <row r="2" spans="1:16" ht="68.25" customHeight="1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45.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</row>
    <row r="4" spans="1:16" ht="22.75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3" t="s">
        <v>17</v>
      </c>
    </row>
    <row r="5" spans="1:16" ht="22.75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3" t="s">
        <v>25</v>
      </c>
    </row>
    <row r="6" spans="1:16" ht="22.75" customHeight="1">
      <c r="A6" s="1" t="s">
        <v>26</v>
      </c>
      <c r="B6" s="2"/>
      <c r="C6" s="2" t="s">
        <v>25</v>
      </c>
      <c r="D6" s="2" t="s">
        <v>27</v>
      </c>
      <c r="E6" s="2" t="s">
        <v>28</v>
      </c>
      <c r="F6" s="2" t="s">
        <v>29</v>
      </c>
      <c r="G6" s="2" t="s">
        <v>30</v>
      </c>
      <c r="H6" s="3" t="s">
        <v>20</v>
      </c>
    </row>
    <row r="7" spans="1:16" ht="45.5" customHeight="1">
      <c r="A7" s="1" t="s">
        <v>31</v>
      </c>
      <c r="B7" s="2"/>
      <c r="C7" s="2" t="s">
        <v>17</v>
      </c>
      <c r="D7" s="2" t="s">
        <v>32</v>
      </c>
      <c r="E7" s="2" t="s">
        <v>33</v>
      </c>
      <c r="F7" s="2" t="s">
        <v>34</v>
      </c>
      <c r="G7" s="2" t="s">
        <v>35</v>
      </c>
      <c r="H7" s="3"/>
    </row>
    <row r="8" spans="1:16" ht="22.75" customHeight="1">
      <c r="A8" s="1" t="s">
        <v>30</v>
      </c>
      <c r="B8" s="2"/>
      <c r="C8" s="2" t="s">
        <v>36</v>
      </c>
      <c r="D8" s="2" t="s">
        <v>37</v>
      </c>
      <c r="E8" s="2" t="s">
        <v>38</v>
      </c>
      <c r="F8" s="2"/>
      <c r="G8" s="2" t="s">
        <v>39</v>
      </c>
      <c r="H8" s="3"/>
    </row>
    <row r="9" spans="1:16" ht="22.75" customHeight="1">
      <c r="A9" s="1" t="s">
        <v>35</v>
      </c>
      <c r="B9" s="2"/>
      <c r="C9" s="2"/>
      <c r="D9" s="2" t="s">
        <v>40</v>
      </c>
      <c r="E9" s="2" t="s">
        <v>41</v>
      </c>
      <c r="F9" s="2"/>
      <c r="G9" s="2" t="s">
        <v>42</v>
      </c>
      <c r="H9" s="3"/>
    </row>
    <row r="10" spans="1:16" ht="45.5" customHeight="1">
      <c r="A10" s="1" t="s">
        <v>43</v>
      </c>
      <c r="B10" s="2"/>
      <c r="C10" s="2"/>
      <c r="D10" s="2" t="s">
        <v>44</v>
      </c>
      <c r="E10" s="2" t="s">
        <v>45</v>
      </c>
      <c r="F10" s="2"/>
      <c r="G10" s="2" t="s">
        <v>46</v>
      </c>
      <c r="H10" s="3"/>
    </row>
    <row r="11" spans="1:16" ht="22.75" customHeight="1">
      <c r="A11" s="1" t="s">
        <v>47</v>
      </c>
      <c r="B11" s="2"/>
      <c r="C11" s="2"/>
      <c r="D11" s="2" t="s">
        <v>48</v>
      </c>
      <c r="E11" s="2" t="s">
        <v>49</v>
      </c>
      <c r="F11" s="2"/>
      <c r="G11" s="2" t="s">
        <v>50</v>
      </c>
      <c r="H11" s="3"/>
    </row>
    <row r="12" spans="1:16" ht="45.5" customHeight="1">
      <c r="A12" s="4" t="s">
        <v>51</v>
      </c>
      <c r="B12" s="5"/>
      <c r="C12" s="5"/>
      <c r="D12" s="5" t="s">
        <v>52</v>
      </c>
      <c r="E12" s="5" t="s">
        <v>53</v>
      </c>
      <c r="F12" s="5"/>
      <c r="G12" s="5" t="s">
        <v>54</v>
      </c>
      <c r="H12" s="6"/>
    </row>
  </sheetData>
  <mergeCells count="2">
    <mergeCell ref="A1:H1"/>
    <mergeCell ref="A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3"/>
  <sheetViews>
    <sheetView topLeftCell="K4" workbookViewId="0">
      <selection activeCell="I5" sqref="I5"/>
    </sheetView>
  </sheetViews>
  <sheetFormatPr baseColWidth="10" defaultColWidth="8.83203125" defaultRowHeight="14"/>
  <cols>
    <col min="1" max="2" width="10" customWidth="1"/>
    <col min="3" max="3" width="38" customWidth="1"/>
    <col min="4" max="5" width="14" customWidth="1"/>
    <col min="6" max="7" width="10" customWidth="1"/>
    <col min="8" max="8" width="12" customWidth="1"/>
    <col min="9" max="9" width="10" customWidth="1"/>
    <col min="10" max="15" width="11" customWidth="1"/>
    <col min="16" max="16" width="12" customWidth="1"/>
    <col min="17" max="17" width="13" customWidth="1"/>
    <col min="18" max="18" width="11" customWidth="1"/>
    <col min="19" max="19" width="12" customWidth="1"/>
    <col min="20" max="20" width="18" customWidth="1"/>
    <col min="21" max="21" width="11" customWidth="1"/>
    <col min="22" max="22" width="12" customWidth="1"/>
    <col min="23" max="23" width="13" customWidth="1"/>
    <col min="24" max="24" width="14" customWidth="1"/>
    <col min="25" max="26" width="12" customWidth="1"/>
    <col min="27" max="27" width="11" customWidth="1"/>
    <col min="28" max="28" width="14" customWidth="1"/>
    <col min="29" max="29" width="24" customWidth="1"/>
    <col min="30" max="30" width="26" customWidth="1"/>
  </cols>
  <sheetData>
    <row r="1" spans="1:30" ht="91.25" customHeight="1">
      <c r="A1" s="54" t="s">
        <v>55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 spans="1:30" ht="296.25" customHeight="1">
      <c r="A2" s="55" t="s">
        <v>56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30" ht="68.25" customHeight="1">
      <c r="A4" s="10" t="s">
        <v>57</v>
      </c>
      <c r="B4" s="11" t="s">
        <v>58</v>
      </c>
      <c r="C4" s="11" t="s">
        <v>59</v>
      </c>
      <c r="D4" s="11" t="s">
        <v>60</v>
      </c>
      <c r="E4" s="11" t="s">
        <v>5</v>
      </c>
      <c r="F4" s="11" t="s">
        <v>61</v>
      </c>
      <c r="G4" s="11" t="s">
        <v>62</v>
      </c>
      <c r="H4" s="11" t="s">
        <v>4</v>
      </c>
      <c r="I4" s="11" t="s">
        <v>63</v>
      </c>
      <c r="J4" s="11" t="s">
        <v>64</v>
      </c>
      <c r="K4" s="11" t="s">
        <v>65</v>
      </c>
      <c r="L4" s="11" t="s">
        <v>66</v>
      </c>
      <c r="M4" s="11" t="s">
        <v>67</v>
      </c>
      <c r="N4" s="11" t="s">
        <v>68</v>
      </c>
      <c r="O4" s="11" t="s">
        <v>69</v>
      </c>
      <c r="P4" s="11" t="s">
        <v>70</v>
      </c>
      <c r="Q4" s="11" t="s">
        <v>71</v>
      </c>
      <c r="R4" s="11" t="s">
        <v>72</v>
      </c>
      <c r="S4" s="11" t="s">
        <v>73</v>
      </c>
      <c r="T4" s="11" t="s">
        <v>2</v>
      </c>
      <c r="U4" s="11" t="s">
        <v>74</v>
      </c>
      <c r="V4" s="11" t="s">
        <v>75</v>
      </c>
      <c r="W4" s="11" t="s">
        <v>76</v>
      </c>
      <c r="X4" s="11" t="s">
        <v>77</v>
      </c>
      <c r="Y4" s="11" t="s">
        <v>78</v>
      </c>
      <c r="Z4" s="11" t="s">
        <v>79</v>
      </c>
      <c r="AA4" s="11" t="s">
        <v>80</v>
      </c>
      <c r="AB4" s="11" t="s">
        <v>81</v>
      </c>
      <c r="AC4" s="11" t="s">
        <v>82</v>
      </c>
      <c r="AD4" s="12" t="s">
        <v>83</v>
      </c>
    </row>
    <row r="5" spans="1:30" ht="45.5" customHeight="1">
      <c r="A5" s="13" t="s">
        <v>84</v>
      </c>
      <c r="B5" s="14" t="s">
        <v>85</v>
      </c>
      <c r="C5" s="14" t="s">
        <v>86</v>
      </c>
      <c r="D5" s="14" t="s">
        <v>14</v>
      </c>
      <c r="E5" s="14" t="s">
        <v>37</v>
      </c>
      <c r="F5" s="14" t="s">
        <v>15</v>
      </c>
      <c r="G5" s="14"/>
      <c r="H5" s="14" t="s">
        <v>12</v>
      </c>
      <c r="I5" s="14">
        <v>1</v>
      </c>
      <c r="J5" s="14" t="s">
        <v>19</v>
      </c>
      <c r="K5" s="14" t="s">
        <v>19</v>
      </c>
      <c r="L5" s="14" t="s">
        <v>19</v>
      </c>
      <c r="M5" s="14" t="s">
        <v>11</v>
      </c>
      <c r="N5" s="14" t="s">
        <v>11</v>
      </c>
      <c r="O5" s="14" t="s">
        <v>11</v>
      </c>
      <c r="P5" s="14" t="s">
        <v>11</v>
      </c>
      <c r="Q5" s="14" t="s">
        <v>11</v>
      </c>
      <c r="R5" s="14" t="s">
        <v>11</v>
      </c>
      <c r="S5" s="14" t="s">
        <v>19</v>
      </c>
      <c r="T5" s="14" t="s">
        <v>31</v>
      </c>
      <c r="U5" s="14">
        <v>20</v>
      </c>
      <c r="V5" s="14">
        <v>35</v>
      </c>
      <c r="W5" s="14">
        <v>20</v>
      </c>
      <c r="X5" s="14">
        <v>20</v>
      </c>
      <c r="Y5" s="14">
        <v>20</v>
      </c>
      <c r="Z5" s="14">
        <f t="shared" ref="Z5:Z13" si="0">SUM(U5:Y5)</f>
        <v>115</v>
      </c>
      <c r="AA5" s="22">
        <f t="shared" ref="AA5:AA13" si="1">COUNTIF(K5:R5,"Yes")/8</f>
        <v>0.25</v>
      </c>
      <c r="AB5" s="14">
        <f t="shared" ref="AB5:AB13" si="2">Z5*(1-AA5)</f>
        <v>86.25</v>
      </c>
      <c r="AC5" s="14" t="s">
        <v>87</v>
      </c>
      <c r="AD5" s="15"/>
    </row>
    <row r="6" spans="1:30" ht="45.5" customHeight="1">
      <c r="A6" s="16" t="s">
        <v>88</v>
      </c>
      <c r="B6" s="17" t="s">
        <v>85</v>
      </c>
      <c r="C6" s="17" t="s">
        <v>89</v>
      </c>
      <c r="D6" s="17" t="s">
        <v>22</v>
      </c>
      <c r="E6" s="17" t="s">
        <v>37</v>
      </c>
      <c r="F6" s="17" t="s">
        <v>15</v>
      </c>
      <c r="G6" s="17"/>
      <c r="H6" s="17" t="s">
        <v>20</v>
      </c>
      <c r="I6" s="17">
        <v>1</v>
      </c>
      <c r="J6" s="17" t="s">
        <v>19</v>
      </c>
      <c r="K6" s="17" t="s">
        <v>19</v>
      </c>
      <c r="L6" s="17" t="s">
        <v>19</v>
      </c>
      <c r="M6" s="17" t="s">
        <v>11</v>
      </c>
      <c r="N6" s="17" t="s">
        <v>11</v>
      </c>
      <c r="O6" s="17" t="s">
        <v>11</v>
      </c>
      <c r="P6" s="17" t="s">
        <v>11</v>
      </c>
      <c r="Q6" s="17" t="s">
        <v>11</v>
      </c>
      <c r="R6" s="17" t="s">
        <v>11</v>
      </c>
      <c r="S6" s="17" t="s">
        <v>11</v>
      </c>
      <c r="T6" s="17" t="s">
        <v>26</v>
      </c>
      <c r="U6" s="17">
        <v>15</v>
      </c>
      <c r="V6" s="17">
        <v>25</v>
      </c>
      <c r="W6" s="17">
        <v>15</v>
      </c>
      <c r="X6" s="17">
        <v>10</v>
      </c>
      <c r="Y6" s="17">
        <v>10</v>
      </c>
      <c r="Z6" s="17">
        <f t="shared" si="0"/>
        <v>75</v>
      </c>
      <c r="AA6" s="23">
        <f t="shared" si="1"/>
        <v>0.25</v>
      </c>
      <c r="AB6" s="17">
        <f t="shared" si="2"/>
        <v>56.25</v>
      </c>
      <c r="AC6" s="17" t="s">
        <v>90</v>
      </c>
      <c r="AD6" s="18"/>
    </row>
    <row r="7" spans="1:30" ht="45.5" customHeight="1">
      <c r="A7" s="16" t="s">
        <v>91</v>
      </c>
      <c r="B7" s="17" t="s">
        <v>85</v>
      </c>
      <c r="C7" s="17" t="s">
        <v>92</v>
      </c>
      <c r="D7" s="17" t="s">
        <v>28</v>
      </c>
      <c r="E7" s="17" t="s">
        <v>37</v>
      </c>
      <c r="F7" s="17" t="s">
        <v>15</v>
      </c>
      <c r="G7" s="17"/>
      <c r="H7" s="17" t="s">
        <v>20</v>
      </c>
      <c r="I7" s="17">
        <v>1</v>
      </c>
      <c r="J7" s="17" t="s">
        <v>19</v>
      </c>
      <c r="K7" s="17" t="s">
        <v>19</v>
      </c>
      <c r="L7" s="17" t="s">
        <v>11</v>
      </c>
      <c r="M7" s="17" t="s">
        <v>11</v>
      </c>
      <c r="N7" s="17" t="s">
        <v>11</v>
      </c>
      <c r="O7" s="17" t="s">
        <v>11</v>
      </c>
      <c r="P7" s="17" t="s">
        <v>11</v>
      </c>
      <c r="Q7" s="17" t="s">
        <v>11</v>
      </c>
      <c r="R7" s="17" t="s">
        <v>11</v>
      </c>
      <c r="S7" s="17" t="s">
        <v>11</v>
      </c>
      <c r="T7" s="17" t="s">
        <v>18</v>
      </c>
      <c r="U7" s="17">
        <v>15</v>
      </c>
      <c r="V7" s="17">
        <v>25</v>
      </c>
      <c r="W7" s="17">
        <v>20</v>
      </c>
      <c r="X7" s="17">
        <v>10</v>
      </c>
      <c r="Y7" s="17">
        <v>15</v>
      </c>
      <c r="Z7" s="17">
        <f t="shared" si="0"/>
        <v>85</v>
      </c>
      <c r="AA7" s="23">
        <f t="shared" si="1"/>
        <v>0.125</v>
      </c>
      <c r="AB7" s="17">
        <f t="shared" si="2"/>
        <v>74.375</v>
      </c>
      <c r="AC7" s="17" t="s">
        <v>93</v>
      </c>
      <c r="AD7" s="18"/>
    </row>
    <row r="8" spans="1:30" ht="45.5" customHeight="1">
      <c r="A8" s="16" t="s">
        <v>94</v>
      </c>
      <c r="B8" s="17" t="s">
        <v>85</v>
      </c>
      <c r="C8" s="17" t="s">
        <v>95</v>
      </c>
      <c r="D8" s="17" t="s">
        <v>33</v>
      </c>
      <c r="E8" s="17" t="s">
        <v>37</v>
      </c>
      <c r="F8" s="17" t="s">
        <v>15</v>
      </c>
      <c r="G8" s="17"/>
      <c r="H8" s="17" t="s">
        <v>20</v>
      </c>
      <c r="I8" s="17">
        <v>1</v>
      </c>
      <c r="J8" s="17" t="s">
        <v>11</v>
      </c>
      <c r="K8" s="17" t="s">
        <v>19</v>
      </c>
      <c r="L8" s="17" t="s">
        <v>11</v>
      </c>
      <c r="M8" s="17" t="s">
        <v>11</v>
      </c>
      <c r="N8" s="17" t="s">
        <v>11</v>
      </c>
      <c r="O8" s="17" t="s">
        <v>11</v>
      </c>
      <c r="P8" s="17" t="s">
        <v>11</v>
      </c>
      <c r="Q8" s="17" t="s">
        <v>11</v>
      </c>
      <c r="R8" s="17" t="s">
        <v>11</v>
      </c>
      <c r="S8" s="17" t="s">
        <v>11</v>
      </c>
      <c r="T8" s="17" t="s">
        <v>18</v>
      </c>
      <c r="U8" s="17">
        <v>15</v>
      </c>
      <c r="V8" s="17">
        <v>30</v>
      </c>
      <c r="W8" s="17">
        <v>20</v>
      </c>
      <c r="X8" s="17">
        <v>15</v>
      </c>
      <c r="Y8" s="17">
        <v>20</v>
      </c>
      <c r="Z8" s="17">
        <f t="shared" si="0"/>
        <v>100</v>
      </c>
      <c r="AA8" s="23">
        <f t="shared" si="1"/>
        <v>0.125</v>
      </c>
      <c r="AB8" s="17">
        <f t="shared" si="2"/>
        <v>87.5</v>
      </c>
      <c r="AC8" s="17" t="s">
        <v>96</v>
      </c>
      <c r="AD8" s="18"/>
    </row>
    <row r="9" spans="1:30" ht="45.5" customHeight="1">
      <c r="A9" s="16" t="s">
        <v>97</v>
      </c>
      <c r="B9" s="17" t="s">
        <v>85</v>
      </c>
      <c r="C9" s="17" t="s">
        <v>98</v>
      </c>
      <c r="D9" s="17" t="s">
        <v>38</v>
      </c>
      <c r="E9" s="17" t="s">
        <v>37</v>
      </c>
      <c r="F9" s="17" t="s">
        <v>15</v>
      </c>
      <c r="G9" s="17"/>
      <c r="H9" s="17" t="s">
        <v>25</v>
      </c>
      <c r="I9" s="17">
        <v>1</v>
      </c>
      <c r="J9" s="17" t="s">
        <v>11</v>
      </c>
      <c r="K9" s="17" t="s">
        <v>19</v>
      </c>
      <c r="L9" s="17" t="s">
        <v>11</v>
      </c>
      <c r="M9" s="17" t="s">
        <v>11</v>
      </c>
      <c r="N9" s="17" t="s">
        <v>11</v>
      </c>
      <c r="O9" s="17" t="s">
        <v>11</v>
      </c>
      <c r="P9" s="17" t="s">
        <v>11</v>
      </c>
      <c r="Q9" s="17" t="s">
        <v>11</v>
      </c>
      <c r="R9" s="17" t="s">
        <v>11</v>
      </c>
      <c r="S9" s="17" t="s">
        <v>11</v>
      </c>
      <c r="T9" s="17" t="s">
        <v>18</v>
      </c>
      <c r="U9" s="17">
        <v>15</v>
      </c>
      <c r="V9" s="17">
        <v>25</v>
      </c>
      <c r="W9" s="17">
        <v>20</v>
      </c>
      <c r="X9" s="17">
        <v>10</v>
      </c>
      <c r="Y9" s="17">
        <v>10</v>
      </c>
      <c r="Z9" s="17">
        <f t="shared" si="0"/>
        <v>80</v>
      </c>
      <c r="AA9" s="23">
        <f t="shared" si="1"/>
        <v>0.125</v>
      </c>
      <c r="AB9" s="17">
        <f t="shared" si="2"/>
        <v>70</v>
      </c>
      <c r="AC9" s="17" t="s">
        <v>99</v>
      </c>
      <c r="AD9" s="18"/>
    </row>
    <row r="10" spans="1:30" ht="68.25" customHeight="1">
      <c r="A10" s="16" t="s">
        <v>100</v>
      </c>
      <c r="B10" s="17" t="s">
        <v>85</v>
      </c>
      <c r="C10" s="17" t="s">
        <v>101</v>
      </c>
      <c r="D10" s="17" t="s">
        <v>41</v>
      </c>
      <c r="E10" s="17" t="s">
        <v>37</v>
      </c>
      <c r="F10" s="17" t="s">
        <v>15</v>
      </c>
      <c r="G10" s="17"/>
      <c r="H10" s="17" t="s">
        <v>12</v>
      </c>
      <c r="I10" s="17">
        <v>1</v>
      </c>
      <c r="J10" s="17" t="s">
        <v>11</v>
      </c>
      <c r="K10" s="17" t="s">
        <v>11</v>
      </c>
      <c r="L10" s="17" t="s">
        <v>11</v>
      </c>
      <c r="M10" s="17" t="s">
        <v>11</v>
      </c>
      <c r="N10" s="17" t="s">
        <v>11</v>
      </c>
      <c r="O10" s="17" t="s">
        <v>11</v>
      </c>
      <c r="P10" s="17" t="s">
        <v>11</v>
      </c>
      <c r="Q10" s="17" t="s">
        <v>11</v>
      </c>
      <c r="R10" s="17" t="s">
        <v>11</v>
      </c>
      <c r="S10" s="17" t="s">
        <v>11</v>
      </c>
      <c r="T10" s="17" t="s">
        <v>18</v>
      </c>
      <c r="U10" s="17">
        <v>20</v>
      </c>
      <c r="V10" s="17">
        <v>30</v>
      </c>
      <c r="W10" s="17">
        <v>25</v>
      </c>
      <c r="X10" s="17">
        <v>20</v>
      </c>
      <c r="Y10" s="17">
        <v>20</v>
      </c>
      <c r="Z10" s="17">
        <f t="shared" si="0"/>
        <v>115</v>
      </c>
      <c r="AA10" s="23">
        <f t="shared" si="1"/>
        <v>0</v>
      </c>
      <c r="AB10" s="17">
        <f t="shared" si="2"/>
        <v>115</v>
      </c>
      <c r="AC10" s="17" t="s">
        <v>102</v>
      </c>
      <c r="AD10" s="18"/>
    </row>
    <row r="11" spans="1:30" ht="45.5" customHeight="1">
      <c r="A11" s="16" t="s">
        <v>103</v>
      </c>
      <c r="B11" s="17" t="s">
        <v>85</v>
      </c>
      <c r="C11" s="17" t="s">
        <v>104</v>
      </c>
      <c r="D11" s="17" t="s">
        <v>45</v>
      </c>
      <c r="E11" s="17" t="s">
        <v>37</v>
      </c>
      <c r="F11" s="17" t="s">
        <v>15</v>
      </c>
      <c r="G11" s="17"/>
      <c r="H11" s="17" t="s">
        <v>12</v>
      </c>
      <c r="I11" s="17">
        <v>1</v>
      </c>
      <c r="J11" s="17" t="s">
        <v>11</v>
      </c>
      <c r="K11" s="17" t="s">
        <v>11</v>
      </c>
      <c r="L11" s="17" t="s">
        <v>11</v>
      </c>
      <c r="M11" s="17" t="s">
        <v>11</v>
      </c>
      <c r="N11" s="17" t="s">
        <v>11</v>
      </c>
      <c r="O11" s="17" t="s">
        <v>11</v>
      </c>
      <c r="P11" s="17" t="s">
        <v>11</v>
      </c>
      <c r="Q11" s="17" t="s">
        <v>11</v>
      </c>
      <c r="R11" s="17" t="s">
        <v>11</v>
      </c>
      <c r="S11" s="17" t="s">
        <v>11</v>
      </c>
      <c r="T11" s="17" t="s">
        <v>18</v>
      </c>
      <c r="U11" s="17">
        <v>25</v>
      </c>
      <c r="V11" s="17">
        <v>35</v>
      </c>
      <c r="W11" s="17">
        <v>30</v>
      </c>
      <c r="X11" s="17">
        <v>25</v>
      </c>
      <c r="Y11" s="17">
        <v>25</v>
      </c>
      <c r="Z11" s="17">
        <f t="shared" si="0"/>
        <v>140</v>
      </c>
      <c r="AA11" s="23">
        <f t="shared" si="1"/>
        <v>0</v>
      </c>
      <c r="AB11" s="17">
        <f t="shared" si="2"/>
        <v>140</v>
      </c>
      <c r="AC11" s="17" t="s">
        <v>105</v>
      </c>
      <c r="AD11" s="18"/>
    </row>
    <row r="12" spans="1:30" ht="45.5" customHeight="1">
      <c r="A12" s="16" t="s">
        <v>106</v>
      </c>
      <c r="B12" s="17" t="s">
        <v>85</v>
      </c>
      <c r="C12" s="17" t="s">
        <v>107</v>
      </c>
      <c r="D12" s="17" t="s">
        <v>49</v>
      </c>
      <c r="E12" s="17" t="s">
        <v>37</v>
      </c>
      <c r="F12" s="17" t="s">
        <v>15</v>
      </c>
      <c r="G12" s="17"/>
      <c r="H12" s="17" t="s">
        <v>12</v>
      </c>
      <c r="I12" s="17">
        <v>1</v>
      </c>
      <c r="J12" s="17" t="s">
        <v>11</v>
      </c>
      <c r="K12" s="17" t="s">
        <v>11</v>
      </c>
      <c r="L12" s="17" t="s">
        <v>11</v>
      </c>
      <c r="M12" s="17" t="s">
        <v>11</v>
      </c>
      <c r="N12" s="17" t="s">
        <v>11</v>
      </c>
      <c r="O12" s="17" t="s">
        <v>11</v>
      </c>
      <c r="P12" s="17" t="s">
        <v>11</v>
      </c>
      <c r="Q12" s="17" t="s">
        <v>11</v>
      </c>
      <c r="R12" s="17" t="s">
        <v>11</v>
      </c>
      <c r="S12" s="17" t="s">
        <v>11</v>
      </c>
      <c r="T12" s="17" t="s">
        <v>18</v>
      </c>
      <c r="U12" s="17">
        <v>25</v>
      </c>
      <c r="V12" s="17">
        <v>40</v>
      </c>
      <c r="W12" s="17">
        <v>30</v>
      </c>
      <c r="X12" s="17">
        <v>20</v>
      </c>
      <c r="Y12" s="17">
        <v>15</v>
      </c>
      <c r="Z12" s="17">
        <f t="shared" si="0"/>
        <v>130</v>
      </c>
      <c r="AA12" s="23">
        <f t="shared" si="1"/>
        <v>0</v>
      </c>
      <c r="AB12" s="17">
        <f t="shared" si="2"/>
        <v>130</v>
      </c>
      <c r="AC12" s="17" t="s">
        <v>108</v>
      </c>
      <c r="AD12" s="18"/>
    </row>
    <row r="13" spans="1:30" ht="68.25" customHeight="1">
      <c r="A13" s="19" t="s">
        <v>109</v>
      </c>
      <c r="B13" s="20" t="s">
        <v>85</v>
      </c>
      <c r="C13" s="20" t="s">
        <v>110</v>
      </c>
      <c r="D13" s="20" t="s">
        <v>53</v>
      </c>
      <c r="E13" s="20" t="s">
        <v>37</v>
      </c>
      <c r="F13" s="20" t="s">
        <v>15</v>
      </c>
      <c r="G13" s="20"/>
      <c r="H13" s="20" t="s">
        <v>20</v>
      </c>
      <c r="I13" s="20">
        <v>1</v>
      </c>
      <c r="J13" s="20" t="s">
        <v>11</v>
      </c>
      <c r="K13" s="20" t="s">
        <v>11</v>
      </c>
      <c r="L13" s="20" t="s">
        <v>11</v>
      </c>
      <c r="M13" s="20" t="s">
        <v>11</v>
      </c>
      <c r="N13" s="20" t="s">
        <v>11</v>
      </c>
      <c r="O13" s="20" t="s">
        <v>11</v>
      </c>
      <c r="P13" s="20" t="s">
        <v>11</v>
      </c>
      <c r="Q13" s="20" t="s">
        <v>11</v>
      </c>
      <c r="R13" s="20" t="s">
        <v>11</v>
      </c>
      <c r="S13" s="20" t="s">
        <v>11</v>
      </c>
      <c r="T13" s="20" t="s">
        <v>18</v>
      </c>
      <c r="U13" s="20">
        <v>25</v>
      </c>
      <c r="V13" s="20">
        <v>40</v>
      </c>
      <c r="W13" s="20">
        <v>30</v>
      </c>
      <c r="X13" s="20">
        <v>20</v>
      </c>
      <c r="Y13" s="20">
        <v>20</v>
      </c>
      <c r="Z13" s="20">
        <f t="shared" si="0"/>
        <v>135</v>
      </c>
      <c r="AA13" s="24">
        <f t="shared" si="1"/>
        <v>0</v>
      </c>
      <c r="AB13" s="20">
        <f t="shared" si="2"/>
        <v>135</v>
      </c>
      <c r="AC13" s="20" t="s">
        <v>111</v>
      </c>
      <c r="AD13" s="21"/>
    </row>
  </sheetData>
  <mergeCells count="2">
    <mergeCell ref="A1:AD1"/>
    <mergeCell ref="A2:P2"/>
  </mergeCells>
  <conditionalFormatting sqref="I5:I13">
    <cfRule type="cellIs" dxfId="4" priority="3" operator="lessThanOrEqual">
      <formula>2</formula>
    </cfRule>
  </conditionalFormatting>
  <conditionalFormatting sqref="AA5:AA13">
    <cfRule type="colorScale" priority="1">
      <colorScale>
        <cfvo type="min"/>
        <cfvo type="percentile" val="50"/>
        <cfvo type="max"/>
        <color rgb="FFFFEDEE"/>
        <color rgb="FFFFF9E8"/>
        <color rgb="FFEAF9F0"/>
      </colorScale>
    </cfRule>
  </conditionalFormatting>
  <conditionalFormatting sqref="AB5:AB13">
    <cfRule type="dataBar" priority="2">
      <dataBar>
        <cfvo type="min"/>
        <cfvo type="max"/>
        <color rgb="FFC4B5FD"/>
      </dataBar>
    </cfRule>
  </conditionalFormatting>
  <dataValidations count="7">
    <dataValidation type="list" sqref="F5:G13" xr:uid="{00000000-0002-0000-0100-000000000000}">
      <formula1>"A1,A2,Both,Optional,"</formula1>
    </dataValidation>
    <dataValidation type="list" sqref="D5:D13" xr:uid="{00000000-0002-0000-0100-000002000000}">
      <formula1>"Purple,Dark Blue,Light Blue,Dark Green,Pastel Green,Pastel Yellow,Orange,Red,Pink"</formula1>
    </dataValidation>
    <dataValidation type="list" sqref="E5:E13" xr:uid="{00000000-0002-0000-0100-000003000000}">
      <formula1>"Textbook,Slides,Tutorial,Graph,Merged,Own notes,Assessment scope,Past paper,Class note"</formula1>
    </dataValidation>
    <dataValidation type="list" sqref="H5:H13" xr:uid="{00000000-0002-0000-0100-000004000000}">
      <formula1>"Critical,High,Medium,Low,Parking Lot"</formula1>
    </dataValidation>
    <dataValidation type="list" sqref="I5:I13" xr:uid="{00000000-0002-0000-0100-000005000000}">
      <formula1>"1,2,3,4,5"</formula1>
    </dataValidation>
    <dataValidation type="list" sqref="J5:S13" xr:uid="{00000000-0002-0000-0100-000006000000}">
      <formula1>"Yes,No"</formula1>
    </dataValidation>
    <dataValidation type="list" sqref="T5:T13" xr:uid="{00000000-0002-0000-0100-000010000000}">
      <formula1>"Not started,Planned,Reading,Paper notes done,Self-explain x1,Self-explain x2,Teach-back done,Tutorial done,Graphs mastered,Exam ready,Needs revisit"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3"/>
  <sheetViews>
    <sheetView topLeftCell="A6" workbookViewId="0">
      <selection sqref="A1:AD1"/>
    </sheetView>
  </sheetViews>
  <sheetFormatPr baseColWidth="10" defaultColWidth="8.83203125" defaultRowHeight="14"/>
  <cols>
    <col min="1" max="2" width="10" customWidth="1"/>
    <col min="3" max="3" width="38" customWidth="1"/>
    <col min="4" max="5" width="14" customWidth="1"/>
    <col min="6" max="7" width="10" customWidth="1"/>
    <col min="8" max="8" width="12" customWidth="1"/>
    <col min="9" max="9" width="10" customWidth="1"/>
    <col min="10" max="15" width="11" customWidth="1"/>
    <col min="16" max="16" width="12" customWidth="1"/>
    <col min="17" max="17" width="13" customWidth="1"/>
    <col min="18" max="18" width="11" customWidth="1"/>
    <col min="19" max="19" width="12" customWidth="1"/>
    <col min="20" max="20" width="18" customWidth="1"/>
    <col min="21" max="21" width="11" customWidth="1"/>
    <col min="22" max="22" width="12" customWidth="1"/>
    <col min="23" max="23" width="13" customWidth="1"/>
    <col min="24" max="24" width="14" customWidth="1"/>
    <col min="25" max="26" width="12" customWidth="1"/>
    <col min="27" max="27" width="11" customWidth="1"/>
    <col min="28" max="28" width="14" customWidth="1"/>
    <col min="29" max="29" width="24" customWidth="1"/>
    <col min="30" max="30" width="26" customWidth="1"/>
  </cols>
  <sheetData>
    <row r="1" spans="1:30" ht="91.25" customHeight="1">
      <c r="A1" s="54" t="s">
        <v>112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 spans="1:30" ht="296.25" customHeight="1">
      <c r="A2" s="55" t="s">
        <v>56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30" ht="68.25" customHeight="1">
      <c r="A4" s="10" t="s">
        <v>57</v>
      </c>
      <c r="B4" s="11" t="s">
        <v>58</v>
      </c>
      <c r="C4" s="11" t="s">
        <v>59</v>
      </c>
      <c r="D4" s="11" t="s">
        <v>60</v>
      </c>
      <c r="E4" s="11" t="s">
        <v>5</v>
      </c>
      <c r="F4" s="11" t="s">
        <v>61</v>
      </c>
      <c r="G4" s="11" t="s">
        <v>62</v>
      </c>
      <c r="H4" s="11" t="s">
        <v>4</v>
      </c>
      <c r="I4" s="11" t="s">
        <v>63</v>
      </c>
      <c r="J4" s="11" t="s">
        <v>64</v>
      </c>
      <c r="K4" s="11" t="s">
        <v>65</v>
      </c>
      <c r="L4" s="11" t="s">
        <v>66</v>
      </c>
      <c r="M4" s="11" t="s">
        <v>67</v>
      </c>
      <c r="N4" s="11" t="s">
        <v>68</v>
      </c>
      <c r="O4" s="11" t="s">
        <v>69</v>
      </c>
      <c r="P4" s="11" t="s">
        <v>70</v>
      </c>
      <c r="Q4" s="11" t="s">
        <v>71</v>
      </c>
      <c r="R4" s="11" t="s">
        <v>72</v>
      </c>
      <c r="S4" s="11" t="s">
        <v>73</v>
      </c>
      <c r="T4" s="11" t="s">
        <v>2</v>
      </c>
      <c r="U4" s="11" t="s">
        <v>74</v>
      </c>
      <c r="V4" s="11" t="s">
        <v>75</v>
      </c>
      <c r="W4" s="11" t="s">
        <v>76</v>
      </c>
      <c r="X4" s="11" t="s">
        <v>77</v>
      </c>
      <c r="Y4" s="11" t="s">
        <v>78</v>
      </c>
      <c r="Z4" s="11" t="s">
        <v>79</v>
      </c>
      <c r="AA4" s="11" t="s">
        <v>80</v>
      </c>
      <c r="AB4" s="11" t="s">
        <v>81</v>
      </c>
      <c r="AC4" s="11" t="s">
        <v>82</v>
      </c>
      <c r="AD4" s="12" t="s">
        <v>83</v>
      </c>
    </row>
    <row r="5" spans="1:30" ht="45.5" customHeight="1">
      <c r="A5" s="13" t="s">
        <v>113</v>
      </c>
      <c r="B5" s="14" t="s">
        <v>114</v>
      </c>
      <c r="C5" s="14" t="s">
        <v>115</v>
      </c>
      <c r="D5" s="14" t="s">
        <v>14</v>
      </c>
      <c r="E5" s="14" t="s">
        <v>37</v>
      </c>
      <c r="F5" s="14" t="s">
        <v>15</v>
      </c>
      <c r="G5" s="14"/>
      <c r="H5" s="14" t="s">
        <v>25</v>
      </c>
      <c r="I5" s="14">
        <v>1</v>
      </c>
      <c r="J5" s="14" t="s">
        <v>11</v>
      </c>
      <c r="K5" s="14" t="s">
        <v>11</v>
      </c>
      <c r="L5" s="14" t="s">
        <v>11</v>
      </c>
      <c r="M5" s="14" t="s">
        <v>11</v>
      </c>
      <c r="N5" s="14" t="s">
        <v>11</v>
      </c>
      <c r="O5" s="14" t="s">
        <v>11</v>
      </c>
      <c r="P5" s="14" t="s">
        <v>11</v>
      </c>
      <c r="Q5" s="14" t="s">
        <v>11</v>
      </c>
      <c r="R5" s="14" t="s">
        <v>11</v>
      </c>
      <c r="S5" s="14" t="s">
        <v>11</v>
      </c>
      <c r="T5" s="14" t="s">
        <v>10</v>
      </c>
      <c r="U5" s="14">
        <v>15</v>
      </c>
      <c r="V5" s="14">
        <v>20</v>
      </c>
      <c r="W5" s="14">
        <v>15</v>
      </c>
      <c r="X5" s="14">
        <v>10</v>
      </c>
      <c r="Y5" s="14">
        <v>10</v>
      </c>
      <c r="Z5" s="14">
        <f t="shared" ref="Z5:Z13" si="0">SUM(U5:Y5)</f>
        <v>70</v>
      </c>
      <c r="AA5" s="22">
        <f t="shared" ref="AA5:AA13" si="1">COUNTIF(K5:R5,"Yes")/8</f>
        <v>0</v>
      </c>
      <c r="AB5" s="14">
        <f t="shared" ref="AB5:AB13" si="2">Z5*(1-AA5)</f>
        <v>70</v>
      </c>
      <c r="AC5" s="14" t="s">
        <v>116</v>
      </c>
      <c r="AD5" s="15"/>
    </row>
    <row r="6" spans="1:30" ht="68.25" customHeight="1">
      <c r="A6" s="16" t="s">
        <v>117</v>
      </c>
      <c r="B6" s="17" t="s">
        <v>114</v>
      </c>
      <c r="C6" s="17" t="s">
        <v>118</v>
      </c>
      <c r="D6" s="17" t="s">
        <v>22</v>
      </c>
      <c r="E6" s="17" t="s">
        <v>37</v>
      </c>
      <c r="F6" s="17" t="s">
        <v>15</v>
      </c>
      <c r="G6" s="17"/>
      <c r="H6" s="17" t="s">
        <v>12</v>
      </c>
      <c r="I6" s="17">
        <v>1</v>
      </c>
      <c r="J6" s="17" t="s">
        <v>11</v>
      </c>
      <c r="K6" s="17" t="s">
        <v>11</v>
      </c>
      <c r="L6" s="17" t="s">
        <v>11</v>
      </c>
      <c r="M6" s="17" t="s">
        <v>11</v>
      </c>
      <c r="N6" s="17" t="s">
        <v>11</v>
      </c>
      <c r="O6" s="17" t="s">
        <v>11</v>
      </c>
      <c r="P6" s="17" t="s">
        <v>11</v>
      </c>
      <c r="Q6" s="17" t="s">
        <v>11</v>
      </c>
      <c r="R6" s="17" t="s">
        <v>11</v>
      </c>
      <c r="S6" s="17" t="s">
        <v>11</v>
      </c>
      <c r="T6" s="17" t="s">
        <v>10</v>
      </c>
      <c r="U6" s="17">
        <v>25</v>
      </c>
      <c r="V6" s="17">
        <v>35</v>
      </c>
      <c r="W6" s="17">
        <v>25</v>
      </c>
      <c r="X6" s="17">
        <v>25</v>
      </c>
      <c r="Y6" s="17">
        <v>10</v>
      </c>
      <c r="Z6" s="17">
        <f t="shared" si="0"/>
        <v>120</v>
      </c>
      <c r="AA6" s="23">
        <f t="shared" si="1"/>
        <v>0</v>
      </c>
      <c r="AB6" s="17">
        <f t="shared" si="2"/>
        <v>120</v>
      </c>
      <c r="AC6" s="17" t="s">
        <v>119</v>
      </c>
      <c r="AD6" s="18"/>
    </row>
    <row r="7" spans="1:30" ht="45.5" customHeight="1">
      <c r="A7" s="16" t="s">
        <v>120</v>
      </c>
      <c r="B7" s="17" t="s">
        <v>114</v>
      </c>
      <c r="C7" s="17" t="s">
        <v>121</v>
      </c>
      <c r="D7" s="17" t="s">
        <v>28</v>
      </c>
      <c r="E7" s="17" t="s">
        <v>37</v>
      </c>
      <c r="F7" s="17" t="s">
        <v>15</v>
      </c>
      <c r="G7" s="17"/>
      <c r="H7" s="17" t="s">
        <v>20</v>
      </c>
      <c r="I7" s="17">
        <v>1</v>
      </c>
      <c r="J7" s="17" t="s">
        <v>11</v>
      </c>
      <c r="K7" s="17" t="s">
        <v>11</v>
      </c>
      <c r="L7" s="17" t="s">
        <v>11</v>
      </c>
      <c r="M7" s="17" t="s">
        <v>11</v>
      </c>
      <c r="N7" s="17" t="s">
        <v>11</v>
      </c>
      <c r="O7" s="17" t="s">
        <v>11</v>
      </c>
      <c r="P7" s="17" t="s">
        <v>11</v>
      </c>
      <c r="Q7" s="17" t="s">
        <v>11</v>
      </c>
      <c r="R7" s="17" t="s">
        <v>11</v>
      </c>
      <c r="S7" s="17" t="s">
        <v>11</v>
      </c>
      <c r="T7" s="17" t="s">
        <v>10</v>
      </c>
      <c r="U7" s="17">
        <v>15</v>
      </c>
      <c r="V7" s="17">
        <v>25</v>
      </c>
      <c r="W7" s="17">
        <v>20</v>
      </c>
      <c r="X7" s="17">
        <v>20</v>
      </c>
      <c r="Y7" s="17">
        <v>10</v>
      </c>
      <c r="Z7" s="17">
        <f t="shared" si="0"/>
        <v>90</v>
      </c>
      <c r="AA7" s="23">
        <f t="shared" si="1"/>
        <v>0</v>
      </c>
      <c r="AB7" s="17">
        <f t="shared" si="2"/>
        <v>90</v>
      </c>
      <c r="AC7" s="17" t="s">
        <v>122</v>
      </c>
      <c r="AD7" s="18"/>
    </row>
    <row r="8" spans="1:30" ht="68.25" customHeight="1">
      <c r="A8" s="16" t="s">
        <v>123</v>
      </c>
      <c r="B8" s="17" t="s">
        <v>114</v>
      </c>
      <c r="C8" s="17" t="s">
        <v>124</v>
      </c>
      <c r="D8" s="17" t="s">
        <v>33</v>
      </c>
      <c r="E8" s="17" t="s">
        <v>37</v>
      </c>
      <c r="F8" s="17" t="s">
        <v>15</v>
      </c>
      <c r="G8" s="17"/>
      <c r="H8" s="17" t="s">
        <v>12</v>
      </c>
      <c r="I8" s="17">
        <v>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  <c r="P8" s="17" t="s">
        <v>11</v>
      </c>
      <c r="Q8" s="17" t="s">
        <v>11</v>
      </c>
      <c r="R8" s="17" t="s">
        <v>11</v>
      </c>
      <c r="S8" s="17" t="s">
        <v>11</v>
      </c>
      <c r="T8" s="17" t="s">
        <v>10</v>
      </c>
      <c r="U8" s="17">
        <v>25</v>
      </c>
      <c r="V8" s="17">
        <v>35</v>
      </c>
      <c r="W8" s="17">
        <v>25</v>
      </c>
      <c r="X8" s="17">
        <v>20</v>
      </c>
      <c r="Y8" s="17">
        <v>20</v>
      </c>
      <c r="Z8" s="17">
        <f t="shared" si="0"/>
        <v>125</v>
      </c>
      <c r="AA8" s="23">
        <f t="shared" si="1"/>
        <v>0</v>
      </c>
      <c r="AB8" s="17">
        <f t="shared" si="2"/>
        <v>125</v>
      </c>
      <c r="AC8" s="17" t="s">
        <v>125</v>
      </c>
      <c r="AD8" s="18"/>
    </row>
    <row r="9" spans="1:30" ht="68.25" customHeight="1">
      <c r="A9" s="16" t="s">
        <v>126</v>
      </c>
      <c r="B9" s="17" t="s">
        <v>114</v>
      </c>
      <c r="C9" s="17" t="s">
        <v>127</v>
      </c>
      <c r="D9" s="17" t="s">
        <v>38</v>
      </c>
      <c r="E9" s="17" t="s">
        <v>37</v>
      </c>
      <c r="F9" s="17" t="s">
        <v>15</v>
      </c>
      <c r="G9" s="17"/>
      <c r="H9" s="17" t="s">
        <v>20</v>
      </c>
      <c r="I9" s="17">
        <v>1</v>
      </c>
      <c r="J9" s="17" t="s">
        <v>11</v>
      </c>
      <c r="K9" s="17" t="s">
        <v>11</v>
      </c>
      <c r="L9" s="17" t="s">
        <v>11</v>
      </c>
      <c r="M9" s="17" t="s">
        <v>11</v>
      </c>
      <c r="N9" s="17" t="s">
        <v>11</v>
      </c>
      <c r="O9" s="17" t="s">
        <v>11</v>
      </c>
      <c r="P9" s="17" t="s">
        <v>11</v>
      </c>
      <c r="Q9" s="17" t="s">
        <v>11</v>
      </c>
      <c r="R9" s="17" t="s">
        <v>11</v>
      </c>
      <c r="S9" s="17" t="s">
        <v>11</v>
      </c>
      <c r="T9" s="17" t="s">
        <v>10</v>
      </c>
      <c r="U9" s="17">
        <v>20</v>
      </c>
      <c r="V9" s="17">
        <v>35</v>
      </c>
      <c r="W9" s="17">
        <v>25</v>
      </c>
      <c r="X9" s="17">
        <v>20</v>
      </c>
      <c r="Y9" s="17">
        <v>20</v>
      </c>
      <c r="Z9" s="17">
        <f t="shared" si="0"/>
        <v>120</v>
      </c>
      <c r="AA9" s="23">
        <f t="shared" si="1"/>
        <v>0</v>
      </c>
      <c r="AB9" s="17">
        <f t="shared" si="2"/>
        <v>120</v>
      </c>
      <c r="AC9" s="17" t="s">
        <v>128</v>
      </c>
      <c r="AD9" s="18"/>
    </row>
    <row r="10" spans="1:30" ht="68.25" customHeight="1">
      <c r="A10" s="16" t="s">
        <v>129</v>
      </c>
      <c r="B10" s="17" t="s">
        <v>114</v>
      </c>
      <c r="C10" s="17" t="s">
        <v>130</v>
      </c>
      <c r="D10" s="17" t="s">
        <v>41</v>
      </c>
      <c r="E10" s="17" t="s">
        <v>37</v>
      </c>
      <c r="F10" s="17" t="s">
        <v>15</v>
      </c>
      <c r="G10" s="17"/>
      <c r="H10" s="17" t="s">
        <v>12</v>
      </c>
      <c r="I10" s="17">
        <v>1</v>
      </c>
      <c r="J10" s="17" t="s">
        <v>11</v>
      </c>
      <c r="K10" s="17" t="s">
        <v>11</v>
      </c>
      <c r="L10" s="17" t="s">
        <v>11</v>
      </c>
      <c r="M10" s="17" t="s">
        <v>11</v>
      </c>
      <c r="N10" s="17" t="s">
        <v>11</v>
      </c>
      <c r="O10" s="17" t="s">
        <v>11</v>
      </c>
      <c r="P10" s="17" t="s">
        <v>11</v>
      </c>
      <c r="Q10" s="17" t="s">
        <v>11</v>
      </c>
      <c r="R10" s="17" t="s">
        <v>11</v>
      </c>
      <c r="S10" s="17" t="s">
        <v>11</v>
      </c>
      <c r="T10" s="17" t="s">
        <v>10</v>
      </c>
      <c r="U10" s="17">
        <v>20</v>
      </c>
      <c r="V10" s="17">
        <v>35</v>
      </c>
      <c r="W10" s="17">
        <v>30</v>
      </c>
      <c r="X10" s="17">
        <v>25</v>
      </c>
      <c r="Y10" s="17">
        <v>25</v>
      </c>
      <c r="Z10" s="17">
        <f t="shared" si="0"/>
        <v>135</v>
      </c>
      <c r="AA10" s="23">
        <f t="shared" si="1"/>
        <v>0</v>
      </c>
      <c r="AB10" s="17">
        <f t="shared" si="2"/>
        <v>135</v>
      </c>
      <c r="AC10" s="17" t="s">
        <v>131</v>
      </c>
      <c r="AD10" s="18"/>
    </row>
    <row r="11" spans="1:30" ht="45.5" customHeight="1">
      <c r="A11" s="16" t="s">
        <v>132</v>
      </c>
      <c r="B11" s="17" t="s">
        <v>114</v>
      </c>
      <c r="C11" s="17" t="s">
        <v>133</v>
      </c>
      <c r="D11" s="17" t="s">
        <v>45</v>
      </c>
      <c r="E11" s="17" t="s">
        <v>37</v>
      </c>
      <c r="F11" s="17" t="s">
        <v>15</v>
      </c>
      <c r="G11" s="17"/>
      <c r="H11" s="17" t="s">
        <v>25</v>
      </c>
      <c r="I11" s="17">
        <v>1</v>
      </c>
      <c r="J11" s="17" t="s">
        <v>11</v>
      </c>
      <c r="K11" s="17" t="s">
        <v>11</v>
      </c>
      <c r="L11" s="17" t="s">
        <v>11</v>
      </c>
      <c r="M11" s="17" t="s">
        <v>11</v>
      </c>
      <c r="N11" s="17" t="s">
        <v>11</v>
      </c>
      <c r="O11" s="17" t="s">
        <v>11</v>
      </c>
      <c r="P11" s="17" t="s">
        <v>11</v>
      </c>
      <c r="Q11" s="17" t="s">
        <v>11</v>
      </c>
      <c r="R11" s="17" t="s">
        <v>11</v>
      </c>
      <c r="S11" s="17" t="s">
        <v>11</v>
      </c>
      <c r="T11" s="17" t="s">
        <v>10</v>
      </c>
      <c r="U11" s="17">
        <v>15</v>
      </c>
      <c r="V11" s="17">
        <v>25</v>
      </c>
      <c r="W11" s="17">
        <v>20</v>
      </c>
      <c r="X11" s="17">
        <v>15</v>
      </c>
      <c r="Y11" s="17">
        <v>10</v>
      </c>
      <c r="Z11" s="17">
        <f t="shared" si="0"/>
        <v>85</v>
      </c>
      <c r="AA11" s="23">
        <f t="shared" si="1"/>
        <v>0</v>
      </c>
      <c r="AB11" s="17">
        <f t="shared" si="2"/>
        <v>85</v>
      </c>
      <c r="AC11" s="17" t="s">
        <v>134</v>
      </c>
      <c r="AD11" s="18"/>
    </row>
    <row r="12" spans="1:30" ht="45.5" customHeight="1">
      <c r="A12" s="16" t="s">
        <v>135</v>
      </c>
      <c r="B12" s="17" t="s">
        <v>114</v>
      </c>
      <c r="C12" s="17" t="s">
        <v>136</v>
      </c>
      <c r="D12" s="17" t="s">
        <v>49</v>
      </c>
      <c r="E12" s="17" t="s">
        <v>37</v>
      </c>
      <c r="F12" s="17" t="s">
        <v>15</v>
      </c>
      <c r="G12" s="17"/>
      <c r="H12" s="17" t="s">
        <v>12</v>
      </c>
      <c r="I12" s="17">
        <v>1</v>
      </c>
      <c r="J12" s="17" t="s">
        <v>11</v>
      </c>
      <c r="K12" s="17" t="s">
        <v>11</v>
      </c>
      <c r="L12" s="17" t="s">
        <v>11</v>
      </c>
      <c r="M12" s="17" t="s">
        <v>11</v>
      </c>
      <c r="N12" s="17" t="s">
        <v>11</v>
      </c>
      <c r="O12" s="17" t="s">
        <v>11</v>
      </c>
      <c r="P12" s="17" t="s">
        <v>11</v>
      </c>
      <c r="Q12" s="17" t="s">
        <v>11</v>
      </c>
      <c r="R12" s="17" t="s">
        <v>11</v>
      </c>
      <c r="S12" s="17" t="s">
        <v>11</v>
      </c>
      <c r="T12" s="17" t="s">
        <v>10</v>
      </c>
      <c r="U12" s="17">
        <v>25</v>
      </c>
      <c r="V12" s="17">
        <v>40</v>
      </c>
      <c r="W12" s="17">
        <v>30</v>
      </c>
      <c r="X12" s="17">
        <v>20</v>
      </c>
      <c r="Y12" s="17">
        <v>20</v>
      </c>
      <c r="Z12" s="17">
        <f t="shared" si="0"/>
        <v>135</v>
      </c>
      <c r="AA12" s="23">
        <f t="shared" si="1"/>
        <v>0</v>
      </c>
      <c r="AB12" s="17">
        <f t="shared" si="2"/>
        <v>135</v>
      </c>
      <c r="AC12" s="17" t="s">
        <v>137</v>
      </c>
      <c r="AD12" s="18"/>
    </row>
    <row r="13" spans="1:30" ht="45.5" customHeight="1">
      <c r="A13" s="19" t="s">
        <v>138</v>
      </c>
      <c r="B13" s="20" t="s">
        <v>114</v>
      </c>
      <c r="C13" s="20" t="s">
        <v>139</v>
      </c>
      <c r="D13" s="20" t="s">
        <v>53</v>
      </c>
      <c r="E13" s="20" t="s">
        <v>37</v>
      </c>
      <c r="F13" s="20" t="s">
        <v>15</v>
      </c>
      <c r="G13" s="20"/>
      <c r="H13" s="20" t="s">
        <v>20</v>
      </c>
      <c r="I13" s="20">
        <v>1</v>
      </c>
      <c r="J13" s="20" t="s">
        <v>11</v>
      </c>
      <c r="K13" s="20" t="s">
        <v>11</v>
      </c>
      <c r="L13" s="20" t="s">
        <v>11</v>
      </c>
      <c r="M13" s="20" t="s">
        <v>11</v>
      </c>
      <c r="N13" s="20" t="s">
        <v>11</v>
      </c>
      <c r="O13" s="20" t="s">
        <v>11</v>
      </c>
      <c r="P13" s="20" t="s">
        <v>11</v>
      </c>
      <c r="Q13" s="20" t="s">
        <v>11</v>
      </c>
      <c r="R13" s="20" t="s">
        <v>11</v>
      </c>
      <c r="S13" s="20" t="s">
        <v>11</v>
      </c>
      <c r="T13" s="20" t="s">
        <v>10</v>
      </c>
      <c r="U13" s="20">
        <v>20</v>
      </c>
      <c r="V13" s="20">
        <v>35</v>
      </c>
      <c r="W13" s="20">
        <v>25</v>
      </c>
      <c r="X13" s="20">
        <v>20</v>
      </c>
      <c r="Y13" s="20">
        <v>20</v>
      </c>
      <c r="Z13" s="20">
        <f t="shared" si="0"/>
        <v>120</v>
      </c>
      <c r="AA13" s="24">
        <f t="shared" si="1"/>
        <v>0</v>
      </c>
      <c r="AB13" s="20">
        <f t="shared" si="2"/>
        <v>120</v>
      </c>
      <c r="AC13" s="20" t="s">
        <v>140</v>
      </c>
      <c r="AD13" s="21"/>
    </row>
  </sheetData>
  <mergeCells count="2">
    <mergeCell ref="A1:AD1"/>
    <mergeCell ref="A2:P2"/>
  </mergeCells>
  <conditionalFormatting sqref="I5:I13">
    <cfRule type="cellIs" dxfId="3" priority="3" operator="lessThanOrEqual">
      <formula>2</formula>
    </cfRule>
  </conditionalFormatting>
  <conditionalFormatting sqref="AA5:AA13">
    <cfRule type="colorScale" priority="1">
      <colorScale>
        <cfvo type="min"/>
        <cfvo type="percentile" val="50"/>
        <cfvo type="max"/>
        <color rgb="FFFFEDEE"/>
        <color rgb="FFFFF9E8"/>
        <color rgb="FFEAF9F0"/>
      </colorScale>
    </cfRule>
  </conditionalFormatting>
  <conditionalFormatting sqref="AB5:AB13">
    <cfRule type="dataBar" priority="2">
      <dataBar>
        <cfvo type="min"/>
        <cfvo type="max"/>
        <color rgb="FFC4B5FD"/>
      </dataBar>
    </cfRule>
  </conditionalFormatting>
  <dataValidations count="7">
    <dataValidation type="list" sqref="F5:G13" xr:uid="{00000000-0002-0000-0200-000000000000}">
      <formula1>"A1,A2,Both,Optional,"</formula1>
    </dataValidation>
    <dataValidation type="list" sqref="D5:D13" xr:uid="{00000000-0002-0000-0200-000002000000}">
      <formula1>"Purple,Dark Blue,Light Blue,Dark Green,Pastel Green,Pastel Yellow,Orange,Red,Pink"</formula1>
    </dataValidation>
    <dataValidation type="list" sqref="E5:E13" xr:uid="{00000000-0002-0000-0200-000003000000}">
      <formula1>"Textbook,Slides,Tutorial,Graph,Merged,Own notes,Assessment scope,Past paper,Class note"</formula1>
    </dataValidation>
    <dataValidation type="list" sqref="H5:H13" xr:uid="{00000000-0002-0000-0200-000004000000}">
      <formula1>"Critical,High,Medium,Low,Parking Lot"</formula1>
    </dataValidation>
    <dataValidation type="list" sqref="I5:I13" xr:uid="{00000000-0002-0000-0200-000005000000}">
      <formula1>"1,2,3,4,5"</formula1>
    </dataValidation>
    <dataValidation type="list" sqref="J5:S13" xr:uid="{00000000-0002-0000-0200-000006000000}">
      <formula1>"Yes,No"</formula1>
    </dataValidation>
    <dataValidation type="list" sqref="T5:T13" xr:uid="{00000000-0002-0000-0200-000010000000}">
      <formula1>"Not started,Planned,Reading,Paper notes done,Self-explain x1,Self-explain x2,Teach-back done,Tutorial done,Graphs mastered,Exam ready,Needs revisit"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"/>
  <sheetViews>
    <sheetView topLeftCell="A6" workbookViewId="0">
      <selection sqref="A1:AD1"/>
    </sheetView>
  </sheetViews>
  <sheetFormatPr baseColWidth="10" defaultColWidth="8.83203125" defaultRowHeight="14"/>
  <cols>
    <col min="1" max="2" width="10" customWidth="1"/>
    <col min="3" max="3" width="38" customWidth="1"/>
    <col min="4" max="5" width="14" customWidth="1"/>
    <col min="6" max="7" width="10" customWidth="1"/>
    <col min="8" max="8" width="12" customWidth="1"/>
    <col min="9" max="9" width="10" customWidth="1"/>
    <col min="10" max="15" width="11" customWidth="1"/>
    <col min="16" max="16" width="12" customWidth="1"/>
    <col min="17" max="17" width="13" customWidth="1"/>
    <col min="18" max="18" width="11" customWidth="1"/>
    <col min="19" max="19" width="12" customWidth="1"/>
    <col min="20" max="20" width="18" customWidth="1"/>
    <col min="21" max="21" width="11" customWidth="1"/>
    <col min="22" max="22" width="12" customWidth="1"/>
    <col min="23" max="23" width="13" customWidth="1"/>
    <col min="24" max="24" width="14" customWidth="1"/>
    <col min="25" max="26" width="12" customWidth="1"/>
    <col min="27" max="27" width="11" customWidth="1"/>
    <col min="28" max="28" width="14" customWidth="1"/>
    <col min="29" max="29" width="24" customWidth="1"/>
    <col min="30" max="30" width="26" customWidth="1"/>
  </cols>
  <sheetData>
    <row r="1" spans="1:30" ht="91.25" customHeight="1">
      <c r="A1" s="54" t="s">
        <v>141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 spans="1:30" ht="296.25" customHeight="1">
      <c r="A2" s="55" t="s">
        <v>56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30" ht="68.25" customHeight="1">
      <c r="A4" s="10" t="s">
        <v>57</v>
      </c>
      <c r="B4" s="11" t="s">
        <v>58</v>
      </c>
      <c r="C4" s="11" t="s">
        <v>59</v>
      </c>
      <c r="D4" s="11" t="s">
        <v>60</v>
      </c>
      <c r="E4" s="11" t="s">
        <v>5</v>
      </c>
      <c r="F4" s="11" t="s">
        <v>61</v>
      </c>
      <c r="G4" s="11" t="s">
        <v>62</v>
      </c>
      <c r="H4" s="11" t="s">
        <v>4</v>
      </c>
      <c r="I4" s="11" t="s">
        <v>63</v>
      </c>
      <c r="J4" s="11" t="s">
        <v>64</v>
      </c>
      <c r="K4" s="11" t="s">
        <v>65</v>
      </c>
      <c r="L4" s="11" t="s">
        <v>66</v>
      </c>
      <c r="M4" s="11" t="s">
        <v>67</v>
      </c>
      <c r="N4" s="11" t="s">
        <v>68</v>
      </c>
      <c r="O4" s="11" t="s">
        <v>69</v>
      </c>
      <c r="P4" s="11" t="s">
        <v>70</v>
      </c>
      <c r="Q4" s="11" t="s">
        <v>71</v>
      </c>
      <c r="R4" s="11" t="s">
        <v>72</v>
      </c>
      <c r="S4" s="11" t="s">
        <v>73</v>
      </c>
      <c r="T4" s="11" t="s">
        <v>2</v>
      </c>
      <c r="U4" s="11" t="s">
        <v>74</v>
      </c>
      <c r="V4" s="11" t="s">
        <v>75</v>
      </c>
      <c r="W4" s="11" t="s">
        <v>76</v>
      </c>
      <c r="X4" s="11" t="s">
        <v>77</v>
      </c>
      <c r="Y4" s="11" t="s">
        <v>78</v>
      </c>
      <c r="Z4" s="11" t="s">
        <v>79</v>
      </c>
      <c r="AA4" s="11" t="s">
        <v>80</v>
      </c>
      <c r="AB4" s="11" t="s">
        <v>81</v>
      </c>
      <c r="AC4" s="11" t="s">
        <v>82</v>
      </c>
      <c r="AD4" s="12" t="s">
        <v>83</v>
      </c>
    </row>
    <row r="5" spans="1:30" ht="68.25" customHeight="1">
      <c r="A5" s="13" t="s">
        <v>142</v>
      </c>
      <c r="B5" s="14" t="s">
        <v>143</v>
      </c>
      <c r="C5" s="14" t="s">
        <v>144</v>
      </c>
      <c r="D5" s="14" t="s">
        <v>14</v>
      </c>
      <c r="E5" s="14" t="s">
        <v>37</v>
      </c>
      <c r="F5" s="14" t="s">
        <v>15</v>
      </c>
      <c r="G5" s="14"/>
      <c r="H5" s="14" t="s">
        <v>20</v>
      </c>
      <c r="I5" s="14">
        <v>1</v>
      </c>
      <c r="J5" s="14" t="s">
        <v>11</v>
      </c>
      <c r="K5" s="14" t="s">
        <v>11</v>
      </c>
      <c r="L5" s="14" t="s">
        <v>11</v>
      </c>
      <c r="M5" s="14" t="s">
        <v>11</v>
      </c>
      <c r="N5" s="14" t="s">
        <v>11</v>
      </c>
      <c r="O5" s="14" t="s">
        <v>11</v>
      </c>
      <c r="P5" s="14" t="s">
        <v>11</v>
      </c>
      <c r="Q5" s="14" t="s">
        <v>11</v>
      </c>
      <c r="R5" s="14" t="s">
        <v>11</v>
      </c>
      <c r="S5" s="14" t="s">
        <v>11</v>
      </c>
      <c r="T5" s="14" t="s">
        <v>10</v>
      </c>
      <c r="U5" s="14">
        <v>15</v>
      </c>
      <c r="V5" s="14">
        <v>25</v>
      </c>
      <c r="W5" s="14">
        <v>20</v>
      </c>
      <c r="X5" s="14">
        <v>10</v>
      </c>
      <c r="Y5" s="14">
        <v>10</v>
      </c>
      <c r="Z5" s="14">
        <f t="shared" ref="Z5:Z12" si="0">SUM(U5:Y5)</f>
        <v>80</v>
      </c>
      <c r="AA5" s="22">
        <f t="shared" ref="AA5:AA12" si="1">COUNTIF(K5:R5,"Yes")/8</f>
        <v>0</v>
      </c>
      <c r="AB5" s="14">
        <f t="shared" ref="AB5:AB12" si="2">Z5*(1-AA5)</f>
        <v>80</v>
      </c>
      <c r="AC5" s="14" t="s">
        <v>145</v>
      </c>
      <c r="AD5" s="15"/>
    </row>
    <row r="6" spans="1:30" ht="45.5" customHeight="1">
      <c r="A6" s="16" t="s">
        <v>146</v>
      </c>
      <c r="B6" s="17" t="s">
        <v>143</v>
      </c>
      <c r="C6" s="17" t="s">
        <v>147</v>
      </c>
      <c r="D6" s="17" t="s">
        <v>22</v>
      </c>
      <c r="E6" s="17" t="s">
        <v>37</v>
      </c>
      <c r="F6" s="17" t="s">
        <v>15</v>
      </c>
      <c r="G6" s="17"/>
      <c r="H6" s="17" t="s">
        <v>12</v>
      </c>
      <c r="I6" s="17">
        <v>1</v>
      </c>
      <c r="J6" s="17" t="s">
        <v>11</v>
      </c>
      <c r="K6" s="17" t="s">
        <v>11</v>
      </c>
      <c r="L6" s="17" t="s">
        <v>11</v>
      </c>
      <c r="M6" s="17" t="s">
        <v>11</v>
      </c>
      <c r="N6" s="17" t="s">
        <v>11</v>
      </c>
      <c r="O6" s="17" t="s">
        <v>11</v>
      </c>
      <c r="P6" s="17" t="s">
        <v>11</v>
      </c>
      <c r="Q6" s="17" t="s">
        <v>11</v>
      </c>
      <c r="R6" s="17" t="s">
        <v>11</v>
      </c>
      <c r="S6" s="17" t="s">
        <v>11</v>
      </c>
      <c r="T6" s="17" t="s">
        <v>10</v>
      </c>
      <c r="U6" s="17">
        <v>25</v>
      </c>
      <c r="V6" s="17">
        <v>40</v>
      </c>
      <c r="W6" s="17">
        <v>30</v>
      </c>
      <c r="X6" s="17">
        <v>20</v>
      </c>
      <c r="Y6" s="17">
        <v>25</v>
      </c>
      <c r="Z6" s="17">
        <f t="shared" si="0"/>
        <v>140</v>
      </c>
      <c r="AA6" s="23">
        <f t="shared" si="1"/>
        <v>0</v>
      </c>
      <c r="AB6" s="17">
        <f t="shared" si="2"/>
        <v>140</v>
      </c>
      <c r="AC6" s="17" t="s">
        <v>148</v>
      </c>
      <c r="AD6" s="18"/>
    </row>
    <row r="7" spans="1:30" ht="45.5" customHeight="1">
      <c r="A7" s="16" t="s">
        <v>149</v>
      </c>
      <c r="B7" s="17" t="s">
        <v>143</v>
      </c>
      <c r="C7" s="17" t="s">
        <v>150</v>
      </c>
      <c r="D7" s="17" t="s">
        <v>28</v>
      </c>
      <c r="E7" s="17" t="s">
        <v>37</v>
      </c>
      <c r="F7" s="17" t="s">
        <v>15</v>
      </c>
      <c r="G7" s="17"/>
      <c r="H7" s="17" t="s">
        <v>12</v>
      </c>
      <c r="I7" s="17">
        <v>1</v>
      </c>
      <c r="J7" s="17" t="s">
        <v>11</v>
      </c>
      <c r="K7" s="17" t="s">
        <v>11</v>
      </c>
      <c r="L7" s="17" t="s">
        <v>11</v>
      </c>
      <c r="M7" s="17" t="s">
        <v>11</v>
      </c>
      <c r="N7" s="17" t="s">
        <v>11</v>
      </c>
      <c r="O7" s="17" t="s">
        <v>11</v>
      </c>
      <c r="P7" s="17" t="s">
        <v>11</v>
      </c>
      <c r="Q7" s="17" t="s">
        <v>11</v>
      </c>
      <c r="R7" s="17" t="s">
        <v>11</v>
      </c>
      <c r="S7" s="17" t="s">
        <v>11</v>
      </c>
      <c r="T7" s="17" t="s">
        <v>10</v>
      </c>
      <c r="U7" s="17">
        <v>25</v>
      </c>
      <c r="V7" s="17">
        <v>35</v>
      </c>
      <c r="W7" s="17">
        <v>30</v>
      </c>
      <c r="X7" s="17">
        <v>25</v>
      </c>
      <c r="Y7" s="17">
        <v>25</v>
      </c>
      <c r="Z7" s="17">
        <f t="shared" si="0"/>
        <v>140</v>
      </c>
      <c r="AA7" s="23">
        <f t="shared" si="1"/>
        <v>0</v>
      </c>
      <c r="AB7" s="17">
        <f t="shared" si="2"/>
        <v>140</v>
      </c>
      <c r="AC7" s="17" t="s">
        <v>151</v>
      </c>
      <c r="AD7" s="18"/>
    </row>
    <row r="8" spans="1:30" ht="45.5" customHeight="1">
      <c r="A8" s="16" t="s">
        <v>152</v>
      </c>
      <c r="B8" s="17" t="s">
        <v>143</v>
      </c>
      <c r="C8" s="17" t="s">
        <v>153</v>
      </c>
      <c r="D8" s="17" t="s">
        <v>33</v>
      </c>
      <c r="E8" s="17" t="s">
        <v>37</v>
      </c>
      <c r="F8" s="17" t="s">
        <v>15</v>
      </c>
      <c r="G8" s="17"/>
      <c r="H8" s="17" t="s">
        <v>12</v>
      </c>
      <c r="I8" s="17">
        <v>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  <c r="P8" s="17" t="s">
        <v>11</v>
      </c>
      <c r="Q8" s="17" t="s">
        <v>11</v>
      </c>
      <c r="R8" s="17" t="s">
        <v>11</v>
      </c>
      <c r="S8" s="17" t="s">
        <v>11</v>
      </c>
      <c r="T8" s="17" t="s">
        <v>10</v>
      </c>
      <c r="U8" s="17">
        <v>20</v>
      </c>
      <c r="V8" s="17">
        <v>30</v>
      </c>
      <c r="W8" s="17">
        <v>25</v>
      </c>
      <c r="X8" s="17">
        <v>20</v>
      </c>
      <c r="Y8" s="17">
        <v>20</v>
      </c>
      <c r="Z8" s="17">
        <f t="shared" si="0"/>
        <v>115</v>
      </c>
      <c r="AA8" s="23">
        <f t="shared" si="1"/>
        <v>0</v>
      </c>
      <c r="AB8" s="17">
        <f t="shared" si="2"/>
        <v>115</v>
      </c>
      <c r="AC8" s="17" t="s">
        <v>154</v>
      </c>
      <c r="AD8" s="18"/>
    </row>
    <row r="9" spans="1:30" ht="68.25" customHeight="1">
      <c r="A9" s="16" t="s">
        <v>155</v>
      </c>
      <c r="B9" s="17" t="s">
        <v>143</v>
      </c>
      <c r="C9" s="17" t="s">
        <v>156</v>
      </c>
      <c r="D9" s="17" t="s">
        <v>38</v>
      </c>
      <c r="E9" s="17" t="s">
        <v>37</v>
      </c>
      <c r="F9" s="17" t="s">
        <v>15</v>
      </c>
      <c r="G9" s="17"/>
      <c r="H9" s="17" t="s">
        <v>12</v>
      </c>
      <c r="I9" s="17">
        <v>1</v>
      </c>
      <c r="J9" s="17" t="s">
        <v>11</v>
      </c>
      <c r="K9" s="17" t="s">
        <v>11</v>
      </c>
      <c r="L9" s="17" t="s">
        <v>11</v>
      </c>
      <c r="M9" s="17" t="s">
        <v>11</v>
      </c>
      <c r="N9" s="17" t="s">
        <v>11</v>
      </c>
      <c r="O9" s="17" t="s">
        <v>11</v>
      </c>
      <c r="P9" s="17" t="s">
        <v>11</v>
      </c>
      <c r="Q9" s="17" t="s">
        <v>11</v>
      </c>
      <c r="R9" s="17" t="s">
        <v>11</v>
      </c>
      <c r="S9" s="17" t="s">
        <v>11</v>
      </c>
      <c r="T9" s="17" t="s">
        <v>10</v>
      </c>
      <c r="U9" s="17">
        <v>25</v>
      </c>
      <c r="V9" s="17">
        <v>40</v>
      </c>
      <c r="W9" s="17">
        <v>35</v>
      </c>
      <c r="X9" s="17">
        <v>25</v>
      </c>
      <c r="Y9" s="17">
        <v>25</v>
      </c>
      <c r="Z9" s="17">
        <f t="shared" si="0"/>
        <v>150</v>
      </c>
      <c r="AA9" s="23">
        <f t="shared" si="1"/>
        <v>0</v>
      </c>
      <c r="AB9" s="17">
        <f t="shared" si="2"/>
        <v>150</v>
      </c>
      <c r="AC9" s="17" t="s">
        <v>157</v>
      </c>
      <c r="AD9" s="18"/>
    </row>
    <row r="10" spans="1:30" ht="68.25" customHeight="1">
      <c r="A10" s="16" t="s">
        <v>158</v>
      </c>
      <c r="B10" s="17" t="s">
        <v>143</v>
      </c>
      <c r="C10" s="17" t="s">
        <v>159</v>
      </c>
      <c r="D10" s="17" t="s">
        <v>41</v>
      </c>
      <c r="E10" s="17" t="s">
        <v>37</v>
      </c>
      <c r="F10" s="17" t="s">
        <v>15</v>
      </c>
      <c r="G10" s="17"/>
      <c r="H10" s="17" t="s">
        <v>20</v>
      </c>
      <c r="I10" s="17">
        <v>1</v>
      </c>
      <c r="J10" s="17" t="s">
        <v>11</v>
      </c>
      <c r="K10" s="17" t="s">
        <v>11</v>
      </c>
      <c r="L10" s="17" t="s">
        <v>11</v>
      </c>
      <c r="M10" s="17" t="s">
        <v>11</v>
      </c>
      <c r="N10" s="17" t="s">
        <v>11</v>
      </c>
      <c r="O10" s="17" t="s">
        <v>11</v>
      </c>
      <c r="P10" s="17" t="s">
        <v>11</v>
      </c>
      <c r="Q10" s="17" t="s">
        <v>11</v>
      </c>
      <c r="R10" s="17" t="s">
        <v>11</v>
      </c>
      <c r="S10" s="17" t="s">
        <v>11</v>
      </c>
      <c r="T10" s="17" t="s">
        <v>10</v>
      </c>
      <c r="U10" s="17">
        <v>20</v>
      </c>
      <c r="V10" s="17">
        <v>35</v>
      </c>
      <c r="W10" s="17">
        <v>30</v>
      </c>
      <c r="X10" s="17">
        <v>20</v>
      </c>
      <c r="Y10" s="17">
        <v>20</v>
      </c>
      <c r="Z10" s="17">
        <f t="shared" si="0"/>
        <v>125</v>
      </c>
      <c r="AA10" s="23">
        <f t="shared" si="1"/>
        <v>0</v>
      </c>
      <c r="AB10" s="17">
        <f t="shared" si="2"/>
        <v>125</v>
      </c>
      <c r="AC10" s="17" t="s">
        <v>160</v>
      </c>
      <c r="AD10" s="18"/>
    </row>
    <row r="11" spans="1:30" ht="68.25" customHeight="1">
      <c r="A11" s="16" t="s">
        <v>161</v>
      </c>
      <c r="B11" s="17" t="s">
        <v>143</v>
      </c>
      <c r="C11" s="17" t="s">
        <v>162</v>
      </c>
      <c r="D11" s="17" t="s">
        <v>45</v>
      </c>
      <c r="E11" s="17" t="s">
        <v>37</v>
      </c>
      <c r="F11" s="17" t="s">
        <v>15</v>
      </c>
      <c r="G11" s="17"/>
      <c r="H11" s="17" t="s">
        <v>12</v>
      </c>
      <c r="I11" s="17">
        <v>1</v>
      </c>
      <c r="J11" s="17" t="s">
        <v>11</v>
      </c>
      <c r="K11" s="17" t="s">
        <v>11</v>
      </c>
      <c r="L11" s="17" t="s">
        <v>11</v>
      </c>
      <c r="M11" s="17" t="s">
        <v>11</v>
      </c>
      <c r="N11" s="17" t="s">
        <v>11</v>
      </c>
      <c r="O11" s="17" t="s">
        <v>11</v>
      </c>
      <c r="P11" s="17" t="s">
        <v>11</v>
      </c>
      <c r="Q11" s="17" t="s">
        <v>11</v>
      </c>
      <c r="R11" s="17" t="s">
        <v>11</v>
      </c>
      <c r="S11" s="17" t="s">
        <v>11</v>
      </c>
      <c r="T11" s="17" t="s">
        <v>10</v>
      </c>
      <c r="U11" s="17">
        <v>25</v>
      </c>
      <c r="V11" s="17">
        <v>35</v>
      </c>
      <c r="W11" s="17">
        <v>30</v>
      </c>
      <c r="X11" s="17">
        <v>20</v>
      </c>
      <c r="Y11" s="17">
        <v>25</v>
      </c>
      <c r="Z11" s="17">
        <f t="shared" si="0"/>
        <v>135</v>
      </c>
      <c r="AA11" s="23">
        <f t="shared" si="1"/>
        <v>0</v>
      </c>
      <c r="AB11" s="17">
        <f t="shared" si="2"/>
        <v>135</v>
      </c>
      <c r="AC11" s="17" t="s">
        <v>163</v>
      </c>
      <c r="AD11" s="18"/>
    </row>
    <row r="12" spans="1:30" ht="68.25" customHeight="1">
      <c r="A12" s="19" t="s">
        <v>164</v>
      </c>
      <c r="B12" s="20" t="s">
        <v>143</v>
      </c>
      <c r="C12" s="20" t="s">
        <v>165</v>
      </c>
      <c r="D12" s="20" t="s">
        <v>53</v>
      </c>
      <c r="E12" s="20" t="s">
        <v>37</v>
      </c>
      <c r="F12" s="20" t="s">
        <v>15</v>
      </c>
      <c r="G12" s="20"/>
      <c r="H12" s="20" t="s">
        <v>25</v>
      </c>
      <c r="I12" s="20">
        <v>1</v>
      </c>
      <c r="J12" s="20" t="s">
        <v>11</v>
      </c>
      <c r="K12" s="20" t="s">
        <v>11</v>
      </c>
      <c r="L12" s="20" t="s">
        <v>11</v>
      </c>
      <c r="M12" s="20" t="s">
        <v>11</v>
      </c>
      <c r="N12" s="20" t="s">
        <v>11</v>
      </c>
      <c r="O12" s="20" t="s">
        <v>11</v>
      </c>
      <c r="P12" s="20" t="s">
        <v>11</v>
      </c>
      <c r="Q12" s="20" t="s">
        <v>11</v>
      </c>
      <c r="R12" s="20" t="s">
        <v>11</v>
      </c>
      <c r="S12" s="20" t="s">
        <v>11</v>
      </c>
      <c r="T12" s="20" t="s">
        <v>10</v>
      </c>
      <c r="U12" s="20">
        <v>20</v>
      </c>
      <c r="V12" s="20">
        <v>30</v>
      </c>
      <c r="W12" s="20">
        <v>20</v>
      </c>
      <c r="X12" s="20">
        <v>15</v>
      </c>
      <c r="Y12" s="20">
        <v>10</v>
      </c>
      <c r="Z12" s="20">
        <f t="shared" si="0"/>
        <v>95</v>
      </c>
      <c r="AA12" s="24">
        <f t="shared" si="1"/>
        <v>0</v>
      </c>
      <c r="AB12" s="20">
        <f t="shared" si="2"/>
        <v>95</v>
      </c>
      <c r="AC12" s="20" t="s">
        <v>166</v>
      </c>
      <c r="AD12" s="21"/>
    </row>
  </sheetData>
  <mergeCells count="2">
    <mergeCell ref="A1:AD1"/>
    <mergeCell ref="A2:P2"/>
  </mergeCells>
  <conditionalFormatting sqref="I5:I12">
    <cfRule type="cellIs" dxfId="2" priority="3" operator="lessThanOrEqual">
      <formula>2</formula>
    </cfRule>
  </conditionalFormatting>
  <conditionalFormatting sqref="AA5:AA12">
    <cfRule type="colorScale" priority="1">
      <colorScale>
        <cfvo type="min"/>
        <cfvo type="percentile" val="50"/>
        <cfvo type="max"/>
        <color rgb="FFFFEDEE"/>
        <color rgb="FFFFF9E8"/>
        <color rgb="FFEAF9F0"/>
      </colorScale>
    </cfRule>
  </conditionalFormatting>
  <conditionalFormatting sqref="AB5:AB12">
    <cfRule type="dataBar" priority="2">
      <dataBar>
        <cfvo type="min"/>
        <cfvo type="max"/>
        <color rgb="FFC4B5FD"/>
      </dataBar>
    </cfRule>
  </conditionalFormatting>
  <dataValidations count="7">
    <dataValidation type="list" sqref="F5:G12" xr:uid="{00000000-0002-0000-0300-000000000000}">
      <formula1>"A1,A2,Both,Optional,"</formula1>
    </dataValidation>
    <dataValidation type="list" sqref="D5:D12" xr:uid="{00000000-0002-0000-0300-000002000000}">
      <formula1>"Purple,Dark Blue,Light Blue,Dark Green,Pastel Green,Pastel Yellow,Orange,Red,Pink"</formula1>
    </dataValidation>
    <dataValidation type="list" sqref="E5:E12" xr:uid="{00000000-0002-0000-0300-000003000000}">
      <formula1>"Textbook,Slides,Tutorial,Graph,Merged,Own notes,Assessment scope,Past paper,Class note"</formula1>
    </dataValidation>
    <dataValidation type="list" sqref="H5:H12" xr:uid="{00000000-0002-0000-0300-000004000000}">
      <formula1>"Critical,High,Medium,Low,Parking Lot"</formula1>
    </dataValidation>
    <dataValidation type="list" sqref="I5:I12" xr:uid="{00000000-0002-0000-0300-000005000000}">
      <formula1>"1,2,3,4,5"</formula1>
    </dataValidation>
    <dataValidation type="list" sqref="J5:S12" xr:uid="{00000000-0002-0000-0300-000006000000}">
      <formula1>"Yes,No"</formula1>
    </dataValidation>
    <dataValidation type="list" sqref="T5:T12" xr:uid="{00000000-0002-0000-0300-000010000000}">
      <formula1>"Not started,Planned,Reading,Paper notes done,Self-explain x1,Self-explain x2,Teach-back done,Tutorial done,Graphs mastered,Exam ready,Needs revisit"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5"/>
  <sheetViews>
    <sheetView topLeftCell="A7" workbookViewId="0">
      <selection sqref="A1:AD1"/>
    </sheetView>
  </sheetViews>
  <sheetFormatPr baseColWidth="10" defaultColWidth="8.83203125" defaultRowHeight="14"/>
  <cols>
    <col min="1" max="2" width="10" customWidth="1"/>
    <col min="3" max="3" width="38" customWidth="1"/>
    <col min="4" max="5" width="14" customWidth="1"/>
    <col min="6" max="7" width="10" customWidth="1"/>
    <col min="8" max="8" width="12" customWidth="1"/>
    <col min="9" max="9" width="10" customWidth="1"/>
    <col min="10" max="15" width="11" customWidth="1"/>
    <col min="16" max="16" width="12" customWidth="1"/>
    <col min="17" max="17" width="13" customWidth="1"/>
    <col min="18" max="18" width="11" customWidth="1"/>
    <col min="19" max="19" width="12" customWidth="1"/>
    <col min="20" max="20" width="18" customWidth="1"/>
    <col min="21" max="21" width="11" customWidth="1"/>
    <col min="22" max="22" width="12" customWidth="1"/>
    <col min="23" max="23" width="13" customWidth="1"/>
    <col min="24" max="24" width="14" customWidth="1"/>
    <col min="25" max="26" width="12" customWidth="1"/>
    <col min="27" max="27" width="11" customWidth="1"/>
    <col min="28" max="28" width="14" customWidth="1"/>
    <col min="29" max="29" width="24" customWidth="1"/>
    <col min="30" max="30" width="26" customWidth="1"/>
  </cols>
  <sheetData>
    <row r="1" spans="1:30" ht="91.25" customHeight="1">
      <c r="A1" s="54" t="s">
        <v>167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 spans="1:30" ht="296.25" customHeight="1">
      <c r="A2" s="55" t="s">
        <v>56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30" ht="68.25" customHeight="1">
      <c r="A4" s="10" t="s">
        <v>57</v>
      </c>
      <c r="B4" s="11" t="s">
        <v>58</v>
      </c>
      <c r="C4" s="11" t="s">
        <v>59</v>
      </c>
      <c r="D4" s="11" t="s">
        <v>60</v>
      </c>
      <c r="E4" s="11" t="s">
        <v>5</v>
      </c>
      <c r="F4" s="11" t="s">
        <v>61</v>
      </c>
      <c r="G4" s="11" t="s">
        <v>62</v>
      </c>
      <c r="H4" s="11" t="s">
        <v>4</v>
      </c>
      <c r="I4" s="11" t="s">
        <v>63</v>
      </c>
      <c r="J4" s="11" t="s">
        <v>64</v>
      </c>
      <c r="K4" s="11" t="s">
        <v>65</v>
      </c>
      <c r="L4" s="11" t="s">
        <v>66</v>
      </c>
      <c r="M4" s="11" t="s">
        <v>67</v>
      </c>
      <c r="N4" s="11" t="s">
        <v>68</v>
      </c>
      <c r="O4" s="11" t="s">
        <v>69</v>
      </c>
      <c r="P4" s="11" t="s">
        <v>70</v>
      </c>
      <c r="Q4" s="11" t="s">
        <v>71</v>
      </c>
      <c r="R4" s="11" t="s">
        <v>72</v>
      </c>
      <c r="S4" s="11" t="s">
        <v>73</v>
      </c>
      <c r="T4" s="11" t="s">
        <v>2</v>
      </c>
      <c r="U4" s="11" t="s">
        <v>74</v>
      </c>
      <c r="V4" s="11" t="s">
        <v>75</v>
      </c>
      <c r="W4" s="11" t="s">
        <v>76</v>
      </c>
      <c r="X4" s="11" t="s">
        <v>77</v>
      </c>
      <c r="Y4" s="11" t="s">
        <v>78</v>
      </c>
      <c r="Z4" s="11" t="s">
        <v>79</v>
      </c>
      <c r="AA4" s="11" t="s">
        <v>80</v>
      </c>
      <c r="AB4" s="11" t="s">
        <v>81</v>
      </c>
      <c r="AC4" s="11" t="s">
        <v>82</v>
      </c>
      <c r="AD4" s="12" t="s">
        <v>83</v>
      </c>
    </row>
    <row r="5" spans="1:30" ht="68.25" customHeight="1">
      <c r="A5" s="13" t="s">
        <v>168</v>
      </c>
      <c r="B5" s="14" t="s">
        <v>169</v>
      </c>
      <c r="C5" s="14" t="s">
        <v>170</v>
      </c>
      <c r="D5" s="14" t="s">
        <v>14</v>
      </c>
      <c r="E5" s="14" t="s">
        <v>37</v>
      </c>
      <c r="F5" s="14" t="s">
        <v>15</v>
      </c>
      <c r="G5" s="14"/>
      <c r="H5" s="14" t="s">
        <v>12</v>
      </c>
      <c r="I5" s="14">
        <v>1</v>
      </c>
      <c r="J5" s="14" t="s">
        <v>11</v>
      </c>
      <c r="K5" s="14" t="s">
        <v>11</v>
      </c>
      <c r="L5" s="14" t="s">
        <v>11</v>
      </c>
      <c r="M5" s="14" t="s">
        <v>11</v>
      </c>
      <c r="N5" s="14" t="s">
        <v>11</v>
      </c>
      <c r="O5" s="14" t="s">
        <v>11</v>
      </c>
      <c r="P5" s="14" t="s">
        <v>11</v>
      </c>
      <c r="Q5" s="14" t="s">
        <v>11</v>
      </c>
      <c r="R5" s="14" t="s">
        <v>11</v>
      </c>
      <c r="S5" s="14" t="s">
        <v>11</v>
      </c>
      <c r="T5" s="14" t="s">
        <v>10</v>
      </c>
      <c r="U5" s="14">
        <v>20</v>
      </c>
      <c r="V5" s="14">
        <v>30</v>
      </c>
      <c r="W5" s="14">
        <v>25</v>
      </c>
      <c r="X5" s="14">
        <v>15</v>
      </c>
      <c r="Y5" s="14">
        <v>10</v>
      </c>
      <c r="Z5" s="14">
        <f t="shared" ref="Z5:Z15" si="0">SUM(U5:Y5)</f>
        <v>100</v>
      </c>
      <c r="AA5" s="22">
        <f t="shared" ref="AA5:AA15" si="1">COUNTIF(K5:R5,"Yes")/8</f>
        <v>0</v>
      </c>
      <c r="AB5" s="14">
        <f t="shared" ref="AB5:AB15" si="2">Z5*(1-AA5)</f>
        <v>100</v>
      </c>
      <c r="AC5" s="14" t="s">
        <v>171</v>
      </c>
      <c r="AD5" s="15"/>
    </row>
    <row r="6" spans="1:30" ht="68.25" customHeight="1">
      <c r="A6" s="16" t="s">
        <v>172</v>
      </c>
      <c r="B6" s="17" t="s">
        <v>169</v>
      </c>
      <c r="C6" s="17" t="s">
        <v>173</v>
      </c>
      <c r="D6" s="17" t="s">
        <v>22</v>
      </c>
      <c r="E6" s="17" t="s">
        <v>37</v>
      </c>
      <c r="F6" s="17" t="s">
        <v>15</v>
      </c>
      <c r="G6" s="17"/>
      <c r="H6" s="17" t="s">
        <v>12</v>
      </c>
      <c r="I6" s="17">
        <v>1</v>
      </c>
      <c r="J6" s="17" t="s">
        <v>11</v>
      </c>
      <c r="K6" s="17" t="s">
        <v>11</v>
      </c>
      <c r="L6" s="17" t="s">
        <v>11</v>
      </c>
      <c r="M6" s="17" t="s">
        <v>11</v>
      </c>
      <c r="N6" s="17" t="s">
        <v>11</v>
      </c>
      <c r="O6" s="17" t="s">
        <v>11</v>
      </c>
      <c r="P6" s="17" t="s">
        <v>11</v>
      </c>
      <c r="Q6" s="17" t="s">
        <v>11</v>
      </c>
      <c r="R6" s="17" t="s">
        <v>11</v>
      </c>
      <c r="S6" s="17" t="s">
        <v>11</v>
      </c>
      <c r="T6" s="17" t="s">
        <v>10</v>
      </c>
      <c r="U6" s="17">
        <v>20</v>
      </c>
      <c r="V6" s="17">
        <v>30</v>
      </c>
      <c r="W6" s="17">
        <v>25</v>
      </c>
      <c r="X6" s="17">
        <v>20</v>
      </c>
      <c r="Y6" s="17">
        <v>15</v>
      </c>
      <c r="Z6" s="17">
        <f t="shared" si="0"/>
        <v>110</v>
      </c>
      <c r="AA6" s="23">
        <f t="shared" si="1"/>
        <v>0</v>
      </c>
      <c r="AB6" s="17">
        <f t="shared" si="2"/>
        <v>110</v>
      </c>
      <c r="AC6" s="17" t="s">
        <v>174</v>
      </c>
      <c r="AD6" s="18"/>
    </row>
    <row r="7" spans="1:30" ht="45.5" customHeight="1">
      <c r="A7" s="16" t="s">
        <v>175</v>
      </c>
      <c r="B7" s="17" t="s">
        <v>169</v>
      </c>
      <c r="C7" s="17" t="s">
        <v>176</v>
      </c>
      <c r="D7" s="17" t="s">
        <v>28</v>
      </c>
      <c r="E7" s="17" t="s">
        <v>37</v>
      </c>
      <c r="F7" s="17" t="s">
        <v>15</v>
      </c>
      <c r="G7" s="17"/>
      <c r="H7" s="17" t="s">
        <v>12</v>
      </c>
      <c r="I7" s="17">
        <v>1</v>
      </c>
      <c r="J7" s="17" t="s">
        <v>11</v>
      </c>
      <c r="K7" s="17" t="s">
        <v>11</v>
      </c>
      <c r="L7" s="17" t="s">
        <v>11</v>
      </c>
      <c r="M7" s="17" t="s">
        <v>11</v>
      </c>
      <c r="N7" s="17" t="s">
        <v>11</v>
      </c>
      <c r="O7" s="17" t="s">
        <v>11</v>
      </c>
      <c r="P7" s="17" t="s">
        <v>11</v>
      </c>
      <c r="Q7" s="17" t="s">
        <v>11</v>
      </c>
      <c r="R7" s="17" t="s">
        <v>11</v>
      </c>
      <c r="S7" s="17" t="s">
        <v>11</v>
      </c>
      <c r="T7" s="17" t="s">
        <v>10</v>
      </c>
      <c r="U7" s="17">
        <v>25</v>
      </c>
      <c r="V7" s="17">
        <v>35</v>
      </c>
      <c r="W7" s="17">
        <v>30</v>
      </c>
      <c r="X7" s="17">
        <v>20</v>
      </c>
      <c r="Y7" s="17">
        <v>20</v>
      </c>
      <c r="Z7" s="17">
        <f t="shared" si="0"/>
        <v>130</v>
      </c>
      <c r="AA7" s="23">
        <f t="shared" si="1"/>
        <v>0</v>
      </c>
      <c r="AB7" s="17">
        <f t="shared" si="2"/>
        <v>130</v>
      </c>
      <c r="AC7" s="17" t="s">
        <v>177</v>
      </c>
      <c r="AD7" s="18"/>
    </row>
    <row r="8" spans="1:30" ht="45.5" customHeight="1">
      <c r="A8" s="16" t="s">
        <v>178</v>
      </c>
      <c r="B8" s="17" t="s">
        <v>169</v>
      </c>
      <c r="C8" s="17" t="s">
        <v>179</v>
      </c>
      <c r="D8" s="17" t="s">
        <v>33</v>
      </c>
      <c r="E8" s="17" t="s">
        <v>37</v>
      </c>
      <c r="F8" s="17" t="s">
        <v>15</v>
      </c>
      <c r="G8" s="17"/>
      <c r="H8" s="17" t="s">
        <v>12</v>
      </c>
      <c r="I8" s="17">
        <v>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  <c r="P8" s="17" t="s">
        <v>11</v>
      </c>
      <c r="Q8" s="17" t="s">
        <v>11</v>
      </c>
      <c r="R8" s="17" t="s">
        <v>11</v>
      </c>
      <c r="S8" s="17" t="s">
        <v>11</v>
      </c>
      <c r="T8" s="17" t="s">
        <v>10</v>
      </c>
      <c r="U8" s="17">
        <v>25</v>
      </c>
      <c r="V8" s="17">
        <v>35</v>
      </c>
      <c r="W8" s="17">
        <v>30</v>
      </c>
      <c r="X8" s="17">
        <v>20</v>
      </c>
      <c r="Y8" s="17">
        <v>20</v>
      </c>
      <c r="Z8" s="17">
        <f t="shared" si="0"/>
        <v>130</v>
      </c>
      <c r="AA8" s="23">
        <f t="shared" si="1"/>
        <v>0</v>
      </c>
      <c r="AB8" s="17">
        <f t="shared" si="2"/>
        <v>130</v>
      </c>
      <c r="AC8" s="17" t="s">
        <v>180</v>
      </c>
      <c r="AD8" s="18"/>
    </row>
    <row r="9" spans="1:30" ht="45.5" customHeight="1">
      <c r="A9" s="16" t="s">
        <v>181</v>
      </c>
      <c r="B9" s="17" t="s">
        <v>169</v>
      </c>
      <c r="C9" s="17" t="s">
        <v>182</v>
      </c>
      <c r="D9" s="17" t="s">
        <v>38</v>
      </c>
      <c r="E9" s="17" t="s">
        <v>37</v>
      </c>
      <c r="F9" s="17" t="s">
        <v>15</v>
      </c>
      <c r="G9" s="17"/>
      <c r="H9" s="17" t="s">
        <v>20</v>
      </c>
      <c r="I9" s="17">
        <v>1</v>
      </c>
      <c r="J9" s="17" t="s">
        <v>11</v>
      </c>
      <c r="K9" s="17" t="s">
        <v>11</v>
      </c>
      <c r="L9" s="17" t="s">
        <v>11</v>
      </c>
      <c r="M9" s="17" t="s">
        <v>11</v>
      </c>
      <c r="N9" s="17" t="s">
        <v>11</v>
      </c>
      <c r="O9" s="17" t="s">
        <v>11</v>
      </c>
      <c r="P9" s="17" t="s">
        <v>11</v>
      </c>
      <c r="Q9" s="17" t="s">
        <v>11</v>
      </c>
      <c r="R9" s="17" t="s">
        <v>11</v>
      </c>
      <c r="S9" s="17" t="s">
        <v>11</v>
      </c>
      <c r="T9" s="17" t="s">
        <v>10</v>
      </c>
      <c r="U9" s="17">
        <v>20</v>
      </c>
      <c r="V9" s="17">
        <v>30</v>
      </c>
      <c r="W9" s="17">
        <v>25</v>
      </c>
      <c r="X9" s="17">
        <v>20</v>
      </c>
      <c r="Y9" s="17">
        <v>15</v>
      </c>
      <c r="Z9" s="17">
        <f t="shared" si="0"/>
        <v>110</v>
      </c>
      <c r="AA9" s="23">
        <f t="shared" si="1"/>
        <v>0</v>
      </c>
      <c r="AB9" s="17">
        <f t="shared" si="2"/>
        <v>110</v>
      </c>
      <c r="AC9" s="17" t="s">
        <v>183</v>
      </c>
      <c r="AD9" s="18"/>
    </row>
    <row r="10" spans="1:30" ht="68.25" customHeight="1">
      <c r="A10" s="16" t="s">
        <v>184</v>
      </c>
      <c r="B10" s="17" t="s">
        <v>169</v>
      </c>
      <c r="C10" s="17" t="s">
        <v>185</v>
      </c>
      <c r="D10" s="17" t="s">
        <v>41</v>
      </c>
      <c r="E10" s="17" t="s">
        <v>37</v>
      </c>
      <c r="F10" s="17" t="s">
        <v>15</v>
      </c>
      <c r="G10" s="17"/>
      <c r="H10" s="17" t="s">
        <v>20</v>
      </c>
      <c r="I10" s="17">
        <v>1</v>
      </c>
      <c r="J10" s="17" t="s">
        <v>11</v>
      </c>
      <c r="K10" s="17" t="s">
        <v>11</v>
      </c>
      <c r="L10" s="17" t="s">
        <v>11</v>
      </c>
      <c r="M10" s="17" t="s">
        <v>11</v>
      </c>
      <c r="N10" s="17" t="s">
        <v>11</v>
      </c>
      <c r="O10" s="17" t="s">
        <v>11</v>
      </c>
      <c r="P10" s="17" t="s">
        <v>11</v>
      </c>
      <c r="Q10" s="17" t="s">
        <v>11</v>
      </c>
      <c r="R10" s="17" t="s">
        <v>11</v>
      </c>
      <c r="S10" s="17" t="s">
        <v>11</v>
      </c>
      <c r="T10" s="17" t="s">
        <v>10</v>
      </c>
      <c r="U10" s="17">
        <v>25</v>
      </c>
      <c r="V10" s="17">
        <v>40</v>
      </c>
      <c r="W10" s="17">
        <v>30</v>
      </c>
      <c r="X10" s="17">
        <v>20</v>
      </c>
      <c r="Y10" s="17">
        <v>15</v>
      </c>
      <c r="Z10" s="17">
        <f t="shared" si="0"/>
        <v>130</v>
      </c>
      <c r="AA10" s="23">
        <f t="shared" si="1"/>
        <v>0</v>
      </c>
      <c r="AB10" s="17">
        <f t="shared" si="2"/>
        <v>130</v>
      </c>
      <c r="AC10" s="17" t="s">
        <v>186</v>
      </c>
      <c r="AD10" s="18"/>
    </row>
    <row r="11" spans="1:30" ht="68.25" customHeight="1">
      <c r="A11" s="16" t="s">
        <v>187</v>
      </c>
      <c r="B11" s="17" t="s">
        <v>169</v>
      </c>
      <c r="C11" s="17" t="s">
        <v>188</v>
      </c>
      <c r="D11" s="17" t="s">
        <v>45</v>
      </c>
      <c r="E11" s="17" t="s">
        <v>37</v>
      </c>
      <c r="F11" s="17" t="s">
        <v>15</v>
      </c>
      <c r="G11" s="17"/>
      <c r="H11" s="17" t="s">
        <v>20</v>
      </c>
      <c r="I11" s="17">
        <v>1</v>
      </c>
      <c r="J11" s="17" t="s">
        <v>11</v>
      </c>
      <c r="K11" s="17" t="s">
        <v>11</v>
      </c>
      <c r="L11" s="17" t="s">
        <v>11</v>
      </c>
      <c r="M11" s="17" t="s">
        <v>11</v>
      </c>
      <c r="N11" s="17" t="s">
        <v>11</v>
      </c>
      <c r="O11" s="17" t="s">
        <v>11</v>
      </c>
      <c r="P11" s="17" t="s">
        <v>11</v>
      </c>
      <c r="Q11" s="17" t="s">
        <v>11</v>
      </c>
      <c r="R11" s="17" t="s">
        <v>11</v>
      </c>
      <c r="S11" s="17" t="s">
        <v>11</v>
      </c>
      <c r="T11" s="17" t="s">
        <v>10</v>
      </c>
      <c r="U11" s="17">
        <v>20</v>
      </c>
      <c r="V11" s="17">
        <v>35</v>
      </c>
      <c r="W11" s="17">
        <v>30</v>
      </c>
      <c r="X11" s="17">
        <v>20</v>
      </c>
      <c r="Y11" s="17">
        <v>15</v>
      </c>
      <c r="Z11" s="17">
        <f t="shared" si="0"/>
        <v>120</v>
      </c>
      <c r="AA11" s="23">
        <f t="shared" si="1"/>
        <v>0</v>
      </c>
      <c r="AB11" s="17">
        <f t="shared" si="2"/>
        <v>120</v>
      </c>
      <c r="AC11" s="17" t="s">
        <v>189</v>
      </c>
      <c r="AD11" s="18"/>
    </row>
    <row r="12" spans="1:30" ht="68.25" customHeight="1">
      <c r="A12" s="16" t="s">
        <v>190</v>
      </c>
      <c r="B12" s="17" t="s">
        <v>169</v>
      </c>
      <c r="C12" s="17" t="s">
        <v>191</v>
      </c>
      <c r="D12" s="17" t="s">
        <v>49</v>
      </c>
      <c r="E12" s="17" t="s">
        <v>37</v>
      </c>
      <c r="F12" s="17" t="s">
        <v>15</v>
      </c>
      <c r="G12" s="17"/>
      <c r="H12" s="17" t="s">
        <v>20</v>
      </c>
      <c r="I12" s="17">
        <v>1</v>
      </c>
      <c r="J12" s="17" t="s">
        <v>11</v>
      </c>
      <c r="K12" s="17" t="s">
        <v>11</v>
      </c>
      <c r="L12" s="17" t="s">
        <v>11</v>
      </c>
      <c r="M12" s="17" t="s">
        <v>11</v>
      </c>
      <c r="N12" s="17" t="s">
        <v>11</v>
      </c>
      <c r="O12" s="17" t="s">
        <v>11</v>
      </c>
      <c r="P12" s="17" t="s">
        <v>11</v>
      </c>
      <c r="Q12" s="17" t="s">
        <v>11</v>
      </c>
      <c r="R12" s="17" t="s">
        <v>11</v>
      </c>
      <c r="S12" s="17" t="s">
        <v>11</v>
      </c>
      <c r="T12" s="17" t="s">
        <v>10</v>
      </c>
      <c r="U12" s="17">
        <v>25</v>
      </c>
      <c r="V12" s="17">
        <v>40</v>
      </c>
      <c r="W12" s="17">
        <v>30</v>
      </c>
      <c r="X12" s="17">
        <v>25</v>
      </c>
      <c r="Y12" s="17">
        <v>15</v>
      </c>
      <c r="Z12" s="17">
        <f t="shared" si="0"/>
        <v>135</v>
      </c>
      <c r="AA12" s="23">
        <f t="shared" si="1"/>
        <v>0</v>
      </c>
      <c r="AB12" s="17">
        <f t="shared" si="2"/>
        <v>135</v>
      </c>
      <c r="AC12" s="17" t="s">
        <v>192</v>
      </c>
      <c r="AD12" s="18"/>
    </row>
    <row r="13" spans="1:30" ht="68.25" customHeight="1">
      <c r="A13" s="16" t="s">
        <v>193</v>
      </c>
      <c r="B13" s="17" t="s">
        <v>169</v>
      </c>
      <c r="C13" s="17" t="s">
        <v>194</v>
      </c>
      <c r="D13" s="17" t="s">
        <v>53</v>
      </c>
      <c r="E13" s="17" t="s">
        <v>37</v>
      </c>
      <c r="F13" s="17" t="s">
        <v>15</v>
      </c>
      <c r="G13" s="17"/>
      <c r="H13" s="17" t="s">
        <v>25</v>
      </c>
      <c r="I13" s="17">
        <v>1</v>
      </c>
      <c r="J13" s="17" t="s">
        <v>11</v>
      </c>
      <c r="K13" s="17" t="s">
        <v>11</v>
      </c>
      <c r="L13" s="17" t="s">
        <v>11</v>
      </c>
      <c r="M13" s="17" t="s">
        <v>11</v>
      </c>
      <c r="N13" s="17" t="s">
        <v>11</v>
      </c>
      <c r="O13" s="17" t="s">
        <v>11</v>
      </c>
      <c r="P13" s="17" t="s">
        <v>11</v>
      </c>
      <c r="Q13" s="17" t="s">
        <v>11</v>
      </c>
      <c r="R13" s="17" t="s">
        <v>11</v>
      </c>
      <c r="S13" s="17" t="s">
        <v>11</v>
      </c>
      <c r="T13" s="17" t="s">
        <v>10</v>
      </c>
      <c r="U13" s="17">
        <v>20</v>
      </c>
      <c r="V13" s="17">
        <v>30</v>
      </c>
      <c r="W13" s="17">
        <v>25</v>
      </c>
      <c r="X13" s="17">
        <v>20</v>
      </c>
      <c r="Y13" s="17">
        <v>10</v>
      </c>
      <c r="Z13" s="17">
        <f t="shared" si="0"/>
        <v>105</v>
      </c>
      <c r="AA13" s="23">
        <f t="shared" si="1"/>
        <v>0</v>
      </c>
      <c r="AB13" s="17">
        <f t="shared" si="2"/>
        <v>105</v>
      </c>
      <c r="AC13" s="17" t="s">
        <v>195</v>
      </c>
      <c r="AD13" s="18"/>
    </row>
    <row r="14" spans="1:30" ht="68.25" customHeight="1">
      <c r="A14" s="16" t="s">
        <v>196</v>
      </c>
      <c r="B14" s="17" t="s">
        <v>169</v>
      </c>
      <c r="C14" s="17" t="s">
        <v>197</v>
      </c>
      <c r="D14" s="17" t="s">
        <v>14</v>
      </c>
      <c r="E14" s="17" t="s">
        <v>37</v>
      </c>
      <c r="F14" s="17" t="s">
        <v>15</v>
      </c>
      <c r="G14" s="17"/>
      <c r="H14" s="17" t="s">
        <v>12</v>
      </c>
      <c r="I14" s="17">
        <v>1</v>
      </c>
      <c r="J14" s="17" t="s">
        <v>11</v>
      </c>
      <c r="K14" s="17" t="s">
        <v>11</v>
      </c>
      <c r="L14" s="17" t="s">
        <v>11</v>
      </c>
      <c r="M14" s="17" t="s">
        <v>11</v>
      </c>
      <c r="N14" s="17" t="s">
        <v>11</v>
      </c>
      <c r="O14" s="17" t="s">
        <v>11</v>
      </c>
      <c r="P14" s="17" t="s">
        <v>11</v>
      </c>
      <c r="Q14" s="17" t="s">
        <v>11</v>
      </c>
      <c r="R14" s="17" t="s">
        <v>11</v>
      </c>
      <c r="S14" s="17" t="s">
        <v>11</v>
      </c>
      <c r="T14" s="17" t="s">
        <v>10</v>
      </c>
      <c r="U14" s="17">
        <v>30</v>
      </c>
      <c r="V14" s="17">
        <v>45</v>
      </c>
      <c r="W14" s="17">
        <v>35</v>
      </c>
      <c r="X14" s="17">
        <v>25</v>
      </c>
      <c r="Y14" s="17">
        <v>20</v>
      </c>
      <c r="Z14" s="17">
        <f t="shared" si="0"/>
        <v>155</v>
      </c>
      <c r="AA14" s="23">
        <f t="shared" si="1"/>
        <v>0</v>
      </c>
      <c r="AB14" s="17">
        <f t="shared" si="2"/>
        <v>155</v>
      </c>
      <c r="AC14" s="17" t="s">
        <v>198</v>
      </c>
      <c r="AD14" s="18"/>
    </row>
    <row r="15" spans="1:30" ht="68.25" customHeight="1">
      <c r="A15" s="19" t="s">
        <v>199</v>
      </c>
      <c r="B15" s="20" t="s">
        <v>169</v>
      </c>
      <c r="C15" s="20" t="s">
        <v>200</v>
      </c>
      <c r="D15" s="20" t="s">
        <v>22</v>
      </c>
      <c r="E15" s="20" t="s">
        <v>37</v>
      </c>
      <c r="F15" s="20" t="s">
        <v>15</v>
      </c>
      <c r="G15" s="20"/>
      <c r="H15" s="20" t="s">
        <v>12</v>
      </c>
      <c r="I15" s="20">
        <v>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10</v>
      </c>
      <c r="U15" s="20">
        <v>30</v>
      </c>
      <c r="V15" s="20">
        <v>45</v>
      </c>
      <c r="W15" s="20">
        <v>35</v>
      </c>
      <c r="X15" s="20">
        <v>25</v>
      </c>
      <c r="Y15" s="20">
        <v>20</v>
      </c>
      <c r="Z15" s="20">
        <f t="shared" si="0"/>
        <v>155</v>
      </c>
      <c r="AA15" s="24">
        <f t="shared" si="1"/>
        <v>0</v>
      </c>
      <c r="AB15" s="20">
        <f t="shared" si="2"/>
        <v>155</v>
      </c>
      <c r="AC15" s="20" t="s">
        <v>201</v>
      </c>
      <c r="AD15" s="21"/>
    </row>
  </sheetData>
  <mergeCells count="2">
    <mergeCell ref="A1:AD1"/>
    <mergeCell ref="A2:P2"/>
  </mergeCells>
  <conditionalFormatting sqref="I5:I15">
    <cfRule type="cellIs" dxfId="1" priority="3" operator="lessThanOrEqual">
      <formula>2</formula>
    </cfRule>
  </conditionalFormatting>
  <conditionalFormatting sqref="AA5:AA15">
    <cfRule type="colorScale" priority="1">
      <colorScale>
        <cfvo type="min"/>
        <cfvo type="percentile" val="50"/>
        <cfvo type="max"/>
        <color rgb="FFFFEDEE"/>
        <color rgb="FFFFF9E8"/>
        <color rgb="FFEAF9F0"/>
      </colorScale>
    </cfRule>
  </conditionalFormatting>
  <conditionalFormatting sqref="AB5:AB15">
    <cfRule type="dataBar" priority="2">
      <dataBar>
        <cfvo type="min"/>
        <cfvo type="max"/>
        <color rgb="FFC4B5FD"/>
      </dataBar>
    </cfRule>
  </conditionalFormatting>
  <dataValidations count="7">
    <dataValidation type="list" sqref="F5:G15" xr:uid="{00000000-0002-0000-0400-000000000000}">
      <formula1>"A1,A2,Both,Optional,"</formula1>
    </dataValidation>
    <dataValidation type="list" sqref="D5:D15" xr:uid="{00000000-0002-0000-0400-000002000000}">
      <formula1>"Purple,Dark Blue,Light Blue,Dark Green,Pastel Green,Pastel Yellow,Orange,Red,Pink"</formula1>
    </dataValidation>
    <dataValidation type="list" sqref="E5:E15" xr:uid="{00000000-0002-0000-0400-000003000000}">
      <formula1>"Textbook,Slides,Tutorial,Graph,Merged,Own notes,Assessment scope,Past paper,Class note"</formula1>
    </dataValidation>
    <dataValidation type="list" sqref="H5:H15" xr:uid="{00000000-0002-0000-0400-000004000000}">
      <formula1>"Critical,High,Medium,Low,Parking Lot"</formula1>
    </dataValidation>
    <dataValidation type="list" sqref="I5:I15" xr:uid="{00000000-0002-0000-0400-000005000000}">
      <formula1>"1,2,3,4,5"</formula1>
    </dataValidation>
    <dataValidation type="list" sqref="J5:S15" xr:uid="{00000000-0002-0000-0400-000006000000}">
      <formula1>"Yes,No"</formula1>
    </dataValidation>
    <dataValidation type="list" sqref="T5:T15" xr:uid="{00000000-0002-0000-0400-000010000000}">
      <formula1>"Not started,Planned,Reading,Paper notes done,Self-explain x1,Self-explain x2,Teach-back done,Tutorial done,Graphs mastered,Exam ready,Needs revisit"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1"/>
  <sheetViews>
    <sheetView topLeftCell="E2" workbookViewId="0">
      <selection sqref="A1:AF1"/>
    </sheetView>
  </sheetViews>
  <sheetFormatPr baseColWidth="10" defaultColWidth="8.83203125" defaultRowHeight="14"/>
  <cols>
    <col min="1" max="2" width="10" customWidth="1"/>
    <col min="3" max="3" width="38" customWidth="1"/>
    <col min="4" max="5" width="14" customWidth="1"/>
    <col min="6" max="7" width="10" customWidth="1"/>
    <col min="8" max="8" width="12" customWidth="1"/>
    <col min="9" max="9" width="10" customWidth="1"/>
    <col min="10" max="15" width="11" customWidth="1"/>
    <col min="16" max="16" width="12" customWidth="1"/>
    <col min="17" max="17" width="13" customWidth="1"/>
    <col min="18" max="18" width="11" customWidth="1"/>
    <col min="19" max="19" width="12" customWidth="1"/>
    <col min="20" max="20" width="18" customWidth="1"/>
    <col min="21" max="21" width="11" customWidth="1"/>
    <col min="22" max="22" width="12" customWidth="1"/>
    <col min="23" max="23" width="13" customWidth="1"/>
    <col min="24" max="24" width="14" customWidth="1"/>
    <col min="25" max="26" width="12" customWidth="1"/>
    <col min="27" max="27" width="11" customWidth="1"/>
    <col min="28" max="28" width="14" customWidth="1"/>
    <col min="29" max="29" width="24" customWidth="1"/>
    <col min="30" max="30" width="26" customWidth="1"/>
    <col min="31" max="31" width="12" customWidth="1"/>
    <col min="32" max="32" width="11" customWidth="1"/>
  </cols>
  <sheetData>
    <row r="1" spans="1:32" ht="91.25" customHeight="1">
      <c r="A1" s="57" t="s">
        <v>202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</row>
    <row r="2" spans="1:32" ht="250.5" customHeight="1">
      <c r="A2" s="55" t="s">
        <v>203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32" ht="68.25" customHeight="1">
      <c r="A4" s="10" t="s">
        <v>57</v>
      </c>
      <c r="B4" s="11" t="s">
        <v>58</v>
      </c>
      <c r="C4" s="11" t="s">
        <v>59</v>
      </c>
      <c r="D4" s="11" t="s">
        <v>60</v>
      </c>
      <c r="E4" s="11" t="s">
        <v>5</v>
      </c>
      <c r="F4" s="11" t="s">
        <v>61</v>
      </c>
      <c r="G4" s="11" t="s">
        <v>62</v>
      </c>
      <c r="H4" s="11" t="s">
        <v>4</v>
      </c>
      <c r="I4" s="11" t="s">
        <v>63</v>
      </c>
      <c r="J4" s="11" t="s">
        <v>64</v>
      </c>
      <c r="K4" s="11" t="s">
        <v>65</v>
      </c>
      <c r="L4" s="11" t="s">
        <v>66</v>
      </c>
      <c r="M4" s="11" t="s">
        <v>67</v>
      </c>
      <c r="N4" s="11" t="s">
        <v>68</v>
      </c>
      <c r="O4" s="11" t="s">
        <v>69</v>
      </c>
      <c r="P4" s="11" t="s">
        <v>70</v>
      </c>
      <c r="Q4" s="11" t="s">
        <v>71</v>
      </c>
      <c r="R4" s="11" t="s">
        <v>72</v>
      </c>
      <c r="S4" s="11" t="s">
        <v>73</v>
      </c>
      <c r="T4" s="11" t="s">
        <v>2</v>
      </c>
      <c r="U4" s="11" t="s">
        <v>74</v>
      </c>
      <c r="V4" s="11" t="s">
        <v>75</v>
      </c>
      <c r="W4" s="11" t="s">
        <v>76</v>
      </c>
      <c r="X4" s="11" t="s">
        <v>77</v>
      </c>
      <c r="Y4" s="11" t="s">
        <v>78</v>
      </c>
      <c r="Z4" s="11" t="s">
        <v>79</v>
      </c>
      <c r="AA4" s="11" t="s">
        <v>80</v>
      </c>
      <c r="AB4" s="11" t="s">
        <v>81</v>
      </c>
      <c r="AC4" s="11" t="s">
        <v>82</v>
      </c>
      <c r="AD4" s="11" t="s">
        <v>83</v>
      </c>
      <c r="AE4" s="11" t="s">
        <v>204</v>
      </c>
      <c r="AF4" s="12" t="s">
        <v>205</v>
      </c>
    </row>
    <row r="5" spans="1:32" ht="45.5" customHeight="1">
      <c r="A5" s="13" t="str">
        <f>'Unit 1 Tracker'!A5</f>
        <v>U1-01</v>
      </c>
      <c r="B5" s="14" t="str">
        <f>'Unit 1 Tracker'!B5</f>
        <v>Unit 1</v>
      </c>
      <c r="C5" s="14" t="str">
        <f>'Unit 1 Tracker'!C5</f>
        <v>GDP, GDP per capita, and history's hockey stick</v>
      </c>
      <c r="D5" s="14" t="str">
        <f>'Unit 1 Tracker'!D5</f>
        <v>Purple</v>
      </c>
      <c r="E5" s="14" t="str">
        <f>'Unit 1 Tracker'!E5</f>
        <v>Merged</v>
      </c>
      <c r="F5" s="14" t="str">
        <f>'Unit 1 Tracker'!F5</f>
        <v>A1</v>
      </c>
      <c r="G5" s="14">
        <f>'Unit 1 Tracker'!G5</f>
        <v>0</v>
      </c>
      <c r="H5" s="14" t="str">
        <f>'Unit 1 Tracker'!H5</f>
        <v>Critical</v>
      </c>
      <c r="I5" s="14">
        <f>'Unit 1 Tracker'!I5</f>
        <v>1</v>
      </c>
      <c r="J5" s="14" t="str">
        <f>'Unit 1 Tracker'!J5</f>
        <v>Yes</v>
      </c>
      <c r="K5" s="14" t="str">
        <f>'Unit 1 Tracker'!K5</f>
        <v>Yes</v>
      </c>
      <c r="L5" s="14" t="str">
        <f>'Unit 1 Tracker'!L5</f>
        <v>Yes</v>
      </c>
      <c r="M5" s="14" t="str">
        <f>'Unit 1 Tracker'!M5</f>
        <v>No</v>
      </c>
      <c r="N5" s="14" t="str">
        <f>'Unit 1 Tracker'!N5</f>
        <v>No</v>
      </c>
      <c r="O5" s="14" t="str">
        <f>'Unit 1 Tracker'!O5</f>
        <v>No</v>
      </c>
      <c r="P5" s="14" t="str">
        <f>'Unit 1 Tracker'!P5</f>
        <v>No</v>
      </c>
      <c r="Q5" s="14" t="str">
        <f>'Unit 1 Tracker'!Q5</f>
        <v>No</v>
      </c>
      <c r="R5" s="14" t="str">
        <f>'Unit 1 Tracker'!R5</f>
        <v>No</v>
      </c>
      <c r="S5" s="14" t="str">
        <f>'Unit 1 Tracker'!S5</f>
        <v>Yes</v>
      </c>
      <c r="T5" s="14" t="str">
        <f>'Unit 1 Tracker'!T5</f>
        <v>Paper notes done</v>
      </c>
      <c r="U5" s="14">
        <f>'Unit 1 Tracker'!U5</f>
        <v>20</v>
      </c>
      <c r="V5" s="14">
        <f>'Unit 1 Tracker'!V5</f>
        <v>35</v>
      </c>
      <c r="W5" s="14">
        <f>'Unit 1 Tracker'!W5</f>
        <v>20</v>
      </c>
      <c r="X5" s="14">
        <f>'Unit 1 Tracker'!X5</f>
        <v>20</v>
      </c>
      <c r="Y5" s="14">
        <f>'Unit 1 Tracker'!Y5</f>
        <v>20</v>
      </c>
      <c r="Z5" s="14">
        <f>'Unit 1 Tracker'!Z5</f>
        <v>115</v>
      </c>
      <c r="AA5" s="22">
        <f>'Unit 1 Tracker'!AA5</f>
        <v>0.25</v>
      </c>
      <c r="AB5" s="14">
        <f>'Unit 1 Tracker'!AB5</f>
        <v>86.25</v>
      </c>
      <c r="AC5" s="14" t="str">
        <f>'Unit 1 Tracker'!AC5</f>
        <v>Start with definitions + hockey-stick graph</v>
      </c>
      <c r="AD5" s="14">
        <f>'Unit 1 Tracker'!AD5</f>
        <v>0</v>
      </c>
      <c r="AE5" s="14">
        <f t="shared" ref="AE5:AE41" si="0">IF(H5="Critical",4,IF(H5="High",3,IF(H5="Medium",2,IF(H5="Low",1,0))))</f>
        <v>4</v>
      </c>
      <c r="AF5" s="15">
        <f t="shared" ref="AF5:AF41" si="1">(1-AA5)*100+AE5*8+IF(I5&lt;=2,8,0)</f>
        <v>115</v>
      </c>
    </row>
    <row r="6" spans="1:32" ht="45.5" customHeight="1">
      <c r="A6" s="16" t="str">
        <f>'Unit 1 Tracker'!A6</f>
        <v>U1-02</v>
      </c>
      <c r="B6" s="17" t="str">
        <f>'Unit 1 Tracker'!B6</f>
        <v>Unit 1</v>
      </c>
      <c r="C6" s="17" t="str">
        <f>'Unit 1 Tracker'!C6</f>
        <v>Limits of GDP as a measure of wellbeing</v>
      </c>
      <c r="D6" s="17" t="str">
        <f>'Unit 1 Tracker'!D6</f>
        <v>Dark Blue</v>
      </c>
      <c r="E6" s="17" t="str">
        <f>'Unit 1 Tracker'!E6</f>
        <v>Merged</v>
      </c>
      <c r="F6" s="17" t="str">
        <f>'Unit 1 Tracker'!F6</f>
        <v>A1</v>
      </c>
      <c r="G6" s="17">
        <f>'Unit 1 Tracker'!G6</f>
        <v>0</v>
      </c>
      <c r="H6" s="17" t="str">
        <f>'Unit 1 Tracker'!H6</f>
        <v>High</v>
      </c>
      <c r="I6" s="17">
        <f>'Unit 1 Tracker'!I6</f>
        <v>1</v>
      </c>
      <c r="J6" s="17" t="str">
        <f>'Unit 1 Tracker'!J6</f>
        <v>Yes</v>
      </c>
      <c r="K6" s="17" t="str">
        <f>'Unit 1 Tracker'!K6</f>
        <v>Yes</v>
      </c>
      <c r="L6" s="17" t="str">
        <f>'Unit 1 Tracker'!L6</f>
        <v>Yes</v>
      </c>
      <c r="M6" s="17" t="str">
        <f>'Unit 1 Tracker'!M6</f>
        <v>No</v>
      </c>
      <c r="N6" s="17" t="str">
        <f>'Unit 1 Tracker'!N6</f>
        <v>No</v>
      </c>
      <c r="O6" s="17" t="str">
        <f>'Unit 1 Tracker'!O6</f>
        <v>No</v>
      </c>
      <c r="P6" s="17" t="str">
        <f>'Unit 1 Tracker'!P6</f>
        <v>No</v>
      </c>
      <c r="Q6" s="17" t="str">
        <f>'Unit 1 Tracker'!Q6</f>
        <v>No</v>
      </c>
      <c r="R6" s="17" t="str">
        <f>'Unit 1 Tracker'!R6</f>
        <v>No</v>
      </c>
      <c r="S6" s="17" t="str">
        <f>'Unit 1 Tracker'!S6</f>
        <v>No</v>
      </c>
      <c r="T6" s="17" t="str">
        <f>'Unit 1 Tracker'!T6</f>
        <v>Reading</v>
      </c>
      <c r="U6" s="17">
        <f>'Unit 1 Tracker'!U6</f>
        <v>15</v>
      </c>
      <c r="V6" s="17">
        <f>'Unit 1 Tracker'!V6</f>
        <v>25</v>
      </c>
      <c r="W6" s="17">
        <f>'Unit 1 Tracker'!W6</f>
        <v>15</v>
      </c>
      <c r="X6" s="17">
        <f>'Unit 1 Tracker'!X6</f>
        <v>10</v>
      </c>
      <c r="Y6" s="17">
        <f>'Unit 1 Tracker'!Y6</f>
        <v>10</v>
      </c>
      <c r="Z6" s="17">
        <f>'Unit 1 Tracker'!Z6</f>
        <v>75</v>
      </c>
      <c r="AA6" s="23">
        <f>'Unit 1 Tracker'!AA6</f>
        <v>0.25</v>
      </c>
      <c r="AB6" s="17">
        <f>'Unit 1 Tracker'!AB6</f>
        <v>56.25</v>
      </c>
      <c r="AC6" s="17" t="str">
        <f>'Unit 1 Tracker'!AC6</f>
        <v>List what GDP misses</v>
      </c>
      <c r="AD6" s="17">
        <f>'Unit 1 Tracker'!AD6</f>
        <v>0</v>
      </c>
      <c r="AE6" s="17">
        <f t="shared" si="0"/>
        <v>3</v>
      </c>
      <c r="AF6" s="18">
        <f t="shared" si="1"/>
        <v>107</v>
      </c>
    </row>
    <row r="7" spans="1:32" ht="45.5" customHeight="1">
      <c r="A7" s="16" t="str">
        <f>'Unit 1 Tracker'!A7</f>
        <v>U1-03</v>
      </c>
      <c r="B7" s="17" t="str">
        <f>'Unit 1 Tracker'!B7</f>
        <v>Unit 1</v>
      </c>
      <c r="C7" s="17" t="str">
        <f>'Unit 1 Tracker'!C7</f>
        <v>Climate change and the cost of economic development</v>
      </c>
      <c r="D7" s="17" t="str">
        <f>'Unit 1 Tracker'!D7</f>
        <v>Light Blue</v>
      </c>
      <c r="E7" s="17" t="str">
        <f>'Unit 1 Tracker'!E7</f>
        <v>Merged</v>
      </c>
      <c r="F7" s="17" t="str">
        <f>'Unit 1 Tracker'!F7</f>
        <v>A1</v>
      </c>
      <c r="G7" s="17">
        <f>'Unit 1 Tracker'!G7</f>
        <v>0</v>
      </c>
      <c r="H7" s="17" t="str">
        <f>'Unit 1 Tracker'!H7</f>
        <v>High</v>
      </c>
      <c r="I7" s="17">
        <f>'Unit 1 Tracker'!I7</f>
        <v>1</v>
      </c>
      <c r="J7" s="17" t="str">
        <f>'Unit 1 Tracker'!J7</f>
        <v>Yes</v>
      </c>
      <c r="K7" s="17" t="str">
        <f>'Unit 1 Tracker'!K7</f>
        <v>Yes</v>
      </c>
      <c r="L7" s="17" t="str">
        <f>'Unit 1 Tracker'!L7</f>
        <v>No</v>
      </c>
      <c r="M7" s="17" t="str">
        <f>'Unit 1 Tracker'!M7</f>
        <v>No</v>
      </c>
      <c r="N7" s="17" t="str">
        <f>'Unit 1 Tracker'!N7</f>
        <v>No</v>
      </c>
      <c r="O7" s="17" t="str">
        <f>'Unit 1 Tracker'!O7</f>
        <v>No</v>
      </c>
      <c r="P7" s="17" t="str">
        <f>'Unit 1 Tracker'!P7</f>
        <v>No</v>
      </c>
      <c r="Q7" s="17" t="str">
        <f>'Unit 1 Tracker'!Q7</f>
        <v>No</v>
      </c>
      <c r="R7" s="17" t="str">
        <f>'Unit 1 Tracker'!R7</f>
        <v>No</v>
      </c>
      <c r="S7" s="17" t="str">
        <f>'Unit 1 Tracker'!S7</f>
        <v>No</v>
      </c>
      <c r="T7" s="17" t="str">
        <f>'Unit 1 Tracker'!T7</f>
        <v>Planned</v>
      </c>
      <c r="U7" s="17">
        <f>'Unit 1 Tracker'!U7</f>
        <v>15</v>
      </c>
      <c r="V7" s="17">
        <f>'Unit 1 Tracker'!V7</f>
        <v>25</v>
      </c>
      <c r="W7" s="17">
        <f>'Unit 1 Tracker'!W7</f>
        <v>20</v>
      </c>
      <c r="X7" s="17">
        <f>'Unit 1 Tracker'!X7</f>
        <v>10</v>
      </c>
      <c r="Y7" s="17">
        <f>'Unit 1 Tracker'!Y7</f>
        <v>15</v>
      </c>
      <c r="Z7" s="17">
        <f>'Unit 1 Tracker'!Z7</f>
        <v>85</v>
      </c>
      <c r="AA7" s="23">
        <f>'Unit 1 Tracker'!AA7</f>
        <v>0.125</v>
      </c>
      <c r="AB7" s="17">
        <f>'Unit 1 Tracker'!AB7</f>
        <v>74.375</v>
      </c>
      <c r="AC7" s="17" t="str">
        <f>'Unit 1 Tracker'!AC7</f>
        <v>Tie growth to environmental cost</v>
      </c>
      <c r="AD7" s="17">
        <f>'Unit 1 Tracker'!AD7</f>
        <v>0</v>
      </c>
      <c r="AE7" s="17">
        <f t="shared" si="0"/>
        <v>3</v>
      </c>
      <c r="AF7" s="18">
        <f t="shared" si="1"/>
        <v>119.5</v>
      </c>
    </row>
    <row r="8" spans="1:32" ht="45.5" customHeight="1">
      <c r="A8" s="16" t="str">
        <f>'Unit 1 Tracker'!A8</f>
        <v>U1-04</v>
      </c>
      <c r="B8" s="17" t="str">
        <f>'Unit 1 Tracker'!B8</f>
        <v>Unit 1</v>
      </c>
      <c r="C8" s="17" t="str">
        <f>'Unit 1 Tracker'!C8</f>
        <v>Between-country and within-country inequality</v>
      </c>
      <c r="D8" s="17" t="str">
        <f>'Unit 1 Tracker'!D8</f>
        <v>Dark Green</v>
      </c>
      <c r="E8" s="17" t="str">
        <f>'Unit 1 Tracker'!E8</f>
        <v>Merged</v>
      </c>
      <c r="F8" s="17" t="str">
        <f>'Unit 1 Tracker'!F8</f>
        <v>A1</v>
      </c>
      <c r="G8" s="17">
        <f>'Unit 1 Tracker'!G8</f>
        <v>0</v>
      </c>
      <c r="H8" s="17" t="str">
        <f>'Unit 1 Tracker'!H8</f>
        <v>High</v>
      </c>
      <c r="I8" s="17">
        <f>'Unit 1 Tracker'!I8</f>
        <v>1</v>
      </c>
      <c r="J8" s="17" t="str">
        <f>'Unit 1 Tracker'!J8</f>
        <v>No</v>
      </c>
      <c r="K8" s="17" t="str">
        <f>'Unit 1 Tracker'!K8</f>
        <v>Yes</v>
      </c>
      <c r="L8" s="17" t="str">
        <f>'Unit 1 Tracker'!L8</f>
        <v>No</v>
      </c>
      <c r="M8" s="17" t="str">
        <f>'Unit 1 Tracker'!M8</f>
        <v>No</v>
      </c>
      <c r="N8" s="17" t="str">
        <f>'Unit 1 Tracker'!N8</f>
        <v>No</v>
      </c>
      <c r="O8" s="17" t="str">
        <f>'Unit 1 Tracker'!O8</f>
        <v>No</v>
      </c>
      <c r="P8" s="17" t="str">
        <f>'Unit 1 Tracker'!P8</f>
        <v>No</v>
      </c>
      <c r="Q8" s="17" t="str">
        <f>'Unit 1 Tracker'!Q8</f>
        <v>No</v>
      </c>
      <c r="R8" s="17" t="str">
        <f>'Unit 1 Tracker'!R8</f>
        <v>No</v>
      </c>
      <c r="S8" s="17" t="str">
        <f>'Unit 1 Tracker'!S8</f>
        <v>No</v>
      </c>
      <c r="T8" s="17" t="str">
        <f>'Unit 1 Tracker'!T8</f>
        <v>Planned</v>
      </c>
      <c r="U8" s="17">
        <f>'Unit 1 Tracker'!U8</f>
        <v>15</v>
      </c>
      <c r="V8" s="17">
        <f>'Unit 1 Tracker'!V8</f>
        <v>30</v>
      </c>
      <c r="W8" s="17">
        <f>'Unit 1 Tracker'!W8</f>
        <v>20</v>
      </c>
      <c r="X8" s="17">
        <f>'Unit 1 Tracker'!X8</f>
        <v>15</v>
      </c>
      <c r="Y8" s="17">
        <f>'Unit 1 Tracker'!Y8</f>
        <v>20</v>
      </c>
      <c r="Z8" s="17">
        <f>'Unit 1 Tracker'!Z8</f>
        <v>100</v>
      </c>
      <c r="AA8" s="23">
        <f>'Unit 1 Tracker'!AA8</f>
        <v>0.125</v>
      </c>
      <c r="AB8" s="17">
        <f>'Unit 1 Tracker'!AB8</f>
        <v>87.5</v>
      </c>
      <c r="AC8" s="17" t="str">
        <f>'Unit 1 Tracker'!AC8</f>
        <v>Explain averages vs distribution</v>
      </c>
      <c r="AD8" s="17">
        <f>'Unit 1 Tracker'!AD8</f>
        <v>0</v>
      </c>
      <c r="AE8" s="17">
        <f t="shared" si="0"/>
        <v>3</v>
      </c>
      <c r="AF8" s="18">
        <f t="shared" si="1"/>
        <v>119.5</v>
      </c>
    </row>
    <row r="9" spans="1:32" ht="45.5" customHeight="1">
      <c r="A9" s="16" t="str">
        <f>'Unit 1 Tracker'!A9</f>
        <v>U1-05</v>
      </c>
      <c r="B9" s="17" t="str">
        <f>'Unit 1 Tracker'!B9</f>
        <v>Unit 1</v>
      </c>
      <c r="C9" s="17" t="str">
        <f>'Unit 1 Tracker'!C9</f>
        <v>Continuous technological revolution</v>
      </c>
      <c r="D9" s="17" t="str">
        <f>'Unit 1 Tracker'!D9</f>
        <v>Pastel Green</v>
      </c>
      <c r="E9" s="17" t="str">
        <f>'Unit 1 Tracker'!E9</f>
        <v>Merged</v>
      </c>
      <c r="F9" s="17" t="str">
        <f>'Unit 1 Tracker'!F9</f>
        <v>A1</v>
      </c>
      <c r="G9" s="17">
        <f>'Unit 1 Tracker'!G9</f>
        <v>0</v>
      </c>
      <c r="H9" s="17" t="str">
        <f>'Unit 1 Tracker'!H9</f>
        <v>Medium</v>
      </c>
      <c r="I9" s="17">
        <f>'Unit 1 Tracker'!I9</f>
        <v>1</v>
      </c>
      <c r="J9" s="17" t="str">
        <f>'Unit 1 Tracker'!J9</f>
        <v>No</v>
      </c>
      <c r="K9" s="17" t="str">
        <f>'Unit 1 Tracker'!K9</f>
        <v>Yes</v>
      </c>
      <c r="L9" s="17" t="str">
        <f>'Unit 1 Tracker'!L9</f>
        <v>No</v>
      </c>
      <c r="M9" s="17" t="str">
        <f>'Unit 1 Tracker'!M9</f>
        <v>No</v>
      </c>
      <c r="N9" s="17" t="str">
        <f>'Unit 1 Tracker'!N9</f>
        <v>No</v>
      </c>
      <c r="O9" s="17" t="str">
        <f>'Unit 1 Tracker'!O9</f>
        <v>No</v>
      </c>
      <c r="P9" s="17" t="str">
        <f>'Unit 1 Tracker'!P9</f>
        <v>No</v>
      </c>
      <c r="Q9" s="17" t="str">
        <f>'Unit 1 Tracker'!Q9</f>
        <v>No</v>
      </c>
      <c r="R9" s="17" t="str">
        <f>'Unit 1 Tracker'!R9</f>
        <v>No</v>
      </c>
      <c r="S9" s="17" t="str">
        <f>'Unit 1 Tracker'!S9</f>
        <v>No</v>
      </c>
      <c r="T9" s="17" t="str">
        <f>'Unit 1 Tracker'!T9</f>
        <v>Planned</v>
      </c>
      <c r="U9" s="17">
        <f>'Unit 1 Tracker'!U9</f>
        <v>15</v>
      </c>
      <c r="V9" s="17">
        <f>'Unit 1 Tracker'!V9</f>
        <v>25</v>
      </c>
      <c r="W9" s="17">
        <f>'Unit 1 Tracker'!W9</f>
        <v>20</v>
      </c>
      <c r="X9" s="17">
        <f>'Unit 1 Tracker'!X9</f>
        <v>10</v>
      </c>
      <c r="Y9" s="17">
        <f>'Unit 1 Tracker'!Y9</f>
        <v>10</v>
      </c>
      <c r="Z9" s="17">
        <f>'Unit 1 Tracker'!Z9</f>
        <v>80</v>
      </c>
      <c r="AA9" s="23">
        <f>'Unit 1 Tracker'!AA9</f>
        <v>0.125</v>
      </c>
      <c r="AB9" s="17">
        <f>'Unit 1 Tracker'!AB9</f>
        <v>70</v>
      </c>
      <c r="AC9" s="17" t="str">
        <f>'Unit 1 Tracker'!AC9</f>
        <v>Use historical + modern examples</v>
      </c>
      <c r="AD9" s="17">
        <f>'Unit 1 Tracker'!AD9</f>
        <v>0</v>
      </c>
      <c r="AE9" s="17">
        <f t="shared" si="0"/>
        <v>2</v>
      </c>
      <c r="AF9" s="18">
        <f t="shared" si="1"/>
        <v>111.5</v>
      </c>
    </row>
    <row r="10" spans="1:32" ht="68.25" customHeight="1">
      <c r="A10" s="16" t="str">
        <f>'Unit 1 Tracker'!A10</f>
        <v>U1-06</v>
      </c>
      <c r="B10" s="17" t="str">
        <f>'Unit 1 Tracker'!B10</f>
        <v>Unit 1</v>
      </c>
      <c r="C10" s="17" t="str">
        <f>'Unit 1 Tracker'!C10</f>
        <v>Production function and diminishing average product of labour</v>
      </c>
      <c r="D10" s="17" t="str">
        <f>'Unit 1 Tracker'!D10</f>
        <v>Pastel Yellow</v>
      </c>
      <c r="E10" s="17" t="str">
        <f>'Unit 1 Tracker'!E10</f>
        <v>Merged</v>
      </c>
      <c r="F10" s="17" t="str">
        <f>'Unit 1 Tracker'!F10</f>
        <v>A1</v>
      </c>
      <c r="G10" s="17">
        <f>'Unit 1 Tracker'!G10</f>
        <v>0</v>
      </c>
      <c r="H10" s="17" t="str">
        <f>'Unit 1 Tracker'!H10</f>
        <v>Critical</v>
      </c>
      <c r="I10" s="17">
        <f>'Unit 1 Tracker'!I10</f>
        <v>1</v>
      </c>
      <c r="J10" s="17" t="str">
        <f>'Unit 1 Tracker'!J10</f>
        <v>No</v>
      </c>
      <c r="K10" s="17" t="str">
        <f>'Unit 1 Tracker'!K10</f>
        <v>No</v>
      </c>
      <c r="L10" s="17" t="str">
        <f>'Unit 1 Tracker'!L10</f>
        <v>No</v>
      </c>
      <c r="M10" s="17" t="str">
        <f>'Unit 1 Tracker'!M10</f>
        <v>No</v>
      </c>
      <c r="N10" s="17" t="str">
        <f>'Unit 1 Tracker'!N10</f>
        <v>No</v>
      </c>
      <c r="O10" s="17" t="str">
        <f>'Unit 1 Tracker'!O10</f>
        <v>No</v>
      </c>
      <c r="P10" s="17" t="str">
        <f>'Unit 1 Tracker'!P10</f>
        <v>No</v>
      </c>
      <c r="Q10" s="17" t="str">
        <f>'Unit 1 Tracker'!Q10</f>
        <v>No</v>
      </c>
      <c r="R10" s="17" t="str">
        <f>'Unit 1 Tracker'!R10</f>
        <v>No</v>
      </c>
      <c r="S10" s="17" t="str">
        <f>'Unit 1 Tracker'!S10</f>
        <v>No</v>
      </c>
      <c r="T10" s="17" t="str">
        <f>'Unit 1 Tracker'!T10</f>
        <v>Planned</v>
      </c>
      <c r="U10" s="17">
        <f>'Unit 1 Tracker'!U10</f>
        <v>20</v>
      </c>
      <c r="V10" s="17">
        <f>'Unit 1 Tracker'!V10</f>
        <v>30</v>
      </c>
      <c r="W10" s="17">
        <f>'Unit 1 Tracker'!W10</f>
        <v>25</v>
      </c>
      <c r="X10" s="17">
        <f>'Unit 1 Tracker'!X10</f>
        <v>20</v>
      </c>
      <c r="Y10" s="17">
        <f>'Unit 1 Tracker'!Y10</f>
        <v>20</v>
      </c>
      <c r="Z10" s="17">
        <f>'Unit 1 Tracker'!Z10</f>
        <v>115</v>
      </c>
      <c r="AA10" s="23">
        <f>'Unit 1 Tracker'!AA10</f>
        <v>0</v>
      </c>
      <c r="AB10" s="17">
        <f>'Unit 1 Tracker'!AB10</f>
        <v>115</v>
      </c>
      <c r="AC10" s="17" t="str">
        <f>'Unit 1 Tracker'!AC10</f>
        <v>Separate total output from output per worker</v>
      </c>
      <c r="AD10" s="17">
        <f>'Unit 1 Tracker'!AD10</f>
        <v>0</v>
      </c>
      <c r="AE10" s="17">
        <f t="shared" si="0"/>
        <v>4</v>
      </c>
      <c r="AF10" s="18">
        <f t="shared" si="1"/>
        <v>140</v>
      </c>
    </row>
    <row r="11" spans="1:32" ht="45.5" customHeight="1">
      <c r="A11" s="16" t="str">
        <f>'Unit 1 Tracker'!A11</f>
        <v>U1-07</v>
      </c>
      <c r="B11" s="17" t="str">
        <f>'Unit 1 Tracker'!B11</f>
        <v>Unit 1</v>
      </c>
      <c r="C11" s="17" t="str">
        <f>'Unit 1 Tracker'!C11</f>
        <v>Malthusian trap, subsistence, and technology shock</v>
      </c>
      <c r="D11" s="17" t="str">
        <f>'Unit 1 Tracker'!D11</f>
        <v>Orange</v>
      </c>
      <c r="E11" s="17" t="str">
        <f>'Unit 1 Tracker'!E11</f>
        <v>Merged</v>
      </c>
      <c r="F11" s="17" t="str">
        <f>'Unit 1 Tracker'!F11</f>
        <v>A1</v>
      </c>
      <c r="G11" s="17">
        <f>'Unit 1 Tracker'!G11</f>
        <v>0</v>
      </c>
      <c r="H11" s="17" t="str">
        <f>'Unit 1 Tracker'!H11</f>
        <v>Critical</v>
      </c>
      <c r="I11" s="17">
        <f>'Unit 1 Tracker'!I11</f>
        <v>1</v>
      </c>
      <c r="J11" s="17" t="str">
        <f>'Unit 1 Tracker'!J11</f>
        <v>No</v>
      </c>
      <c r="K11" s="17" t="str">
        <f>'Unit 1 Tracker'!K11</f>
        <v>No</v>
      </c>
      <c r="L11" s="17" t="str">
        <f>'Unit 1 Tracker'!L11</f>
        <v>No</v>
      </c>
      <c r="M11" s="17" t="str">
        <f>'Unit 1 Tracker'!M11</f>
        <v>No</v>
      </c>
      <c r="N11" s="17" t="str">
        <f>'Unit 1 Tracker'!N11</f>
        <v>No</v>
      </c>
      <c r="O11" s="17" t="str">
        <f>'Unit 1 Tracker'!O11</f>
        <v>No</v>
      </c>
      <c r="P11" s="17" t="str">
        <f>'Unit 1 Tracker'!P11</f>
        <v>No</v>
      </c>
      <c r="Q11" s="17" t="str">
        <f>'Unit 1 Tracker'!Q11</f>
        <v>No</v>
      </c>
      <c r="R11" s="17" t="str">
        <f>'Unit 1 Tracker'!R11</f>
        <v>No</v>
      </c>
      <c r="S11" s="17" t="str">
        <f>'Unit 1 Tracker'!S11</f>
        <v>No</v>
      </c>
      <c r="T11" s="17" t="str">
        <f>'Unit 1 Tracker'!T11</f>
        <v>Planned</v>
      </c>
      <c r="U11" s="17">
        <f>'Unit 1 Tracker'!U11</f>
        <v>25</v>
      </c>
      <c r="V11" s="17">
        <f>'Unit 1 Tracker'!V11</f>
        <v>35</v>
      </c>
      <c r="W11" s="17">
        <f>'Unit 1 Tracker'!W11</f>
        <v>30</v>
      </c>
      <c r="X11" s="17">
        <f>'Unit 1 Tracker'!X11</f>
        <v>25</v>
      </c>
      <c r="Y11" s="17">
        <f>'Unit 1 Tracker'!Y11</f>
        <v>25</v>
      </c>
      <c r="Z11" s="17">
        <f>'Unit 1 Tracker'!Z11</f>
        <v>140</v>
      </c>
      <c r="AA11" s="23">
        <f>'Unit 1 Tracker'!AA11</f>
        <v>0</v>
      </c>
      <c r="AB11" s="17">
        <f>'Unit 1 Tracker'!AB11</f>
        <v>140</v>
      </c>
      <c r="AC11" s="17" t="str">
        <f>'Unit 1 Tracker'!AC11</f>
        <v>Practise the four-step mechanism aloud</v>
      </c>
      <c r="AD11" s="17">
        <f>'Unit 1 Tracker'!AD11</f>
        <v>0</v>
      </c>
      <c r="AE11" s="17">
        <f t="shared" si="0"/>
        <v>4</v>
      </c>
      <c r="AF11" s="18">
        <f t="shared" si="1"/>
        <v>140</v>
      </c>
    </row>
    <row r="12" spans="1:32" ht="45.5" customHeight="1">
      <c r="A12" s="16" t="str">
        <f>'Unit 1 Tracker'!A12</f>
        <v>U1-08</v>
      </c>
      <c r="B12" s="17" t="str">
        <f>'Unit 1 Tracker'!B12</f>
        <v>Unit 1</v>
      </c>
      <c r="C12" s="17" t="str">
        <f>'Unit 1 Tracker'!C12</f>
        <v>Capitalism, institutions, and structural transformation</v>
      </c>
      <c r="D12" s="17" t="str">
        <f>'Unit 1 Tracker'!D12</f>
        <v>Red</v>
      </c>
      <c r="E12" s="17" t="str">
        <f>'Unit 1 Tracker'!E12</f>
        <v>Merged</v>
      </c>
      <c r="F12" s="17" t="str">
        <f>'Unit 1 Tracker'!F12</f>
        <v>A1</v>
      </c>
      <c r="G12" s="17">
        <f>'Unit 1 Tracker'!G12</f>
        <v>0</v>
      </c>
      <c r="H12" s="17" t="str">
        <f>'Unit 1 Tracker'!H12</f>
        <v>Critical</v>
      </c>
      <c r="I12" s="17">
        <f>'Unit 1 Tracker'!I12</f>
        <v>1</v>
      </c>
      <c r="J12" s="17" t="str">
        <f>'Unit 1 Tracker'!J12</f>
        <v>No</v>
      </c>
      <c r="K12" s="17" t="str">
        <f>'Unit 1 Tracker'!K12</f>
        <v>No</v>
      </c>
      <c r="L12" s="17" t="str">
        <f>'Unit 1 Tracker'!L12</f>
        <v>No</v>
      </c>
      <c r="M12" s="17" t="str">
        <f>'Unit 1 Tracker'!M12</f>
        <v>No</v>
      </c>
      <c r="N12" s="17" t="str">
        <f>'Unit 1 Tracker'!N12</f>
        <v>No</v>
      </c>
      <c r="O12" s="17" t="str">
        <f>'Unit 1 Tracker'!O12</f>
        <v>No</v>
      </c>
      <c r="P12" s="17" t="str">
        <f>'Unit 1 Tracker'!P12</f>
        <v>No</v>
      </c>
      <c r="Q12" s="17" t="str">
        <f>'Unit 1 Tracker'!Q12</f>
        <v>No</v>
      </c>
      <c r="R12" s="17" t="str">
        <f>'Unit 1 Tracker'!R12</f>
        <v>No</v>
      </c>
      <c r="S12" s="17" t="str">
        <f>'Unit 1 Tracker'!S12</f>
        <v>No</v>
      </c>
      <c r="T12" s="17" t="str">
        <f>'Unit 1 Tracker'!T12</f>
        <v>Planned</v>
      </c>
      <c r="U12" s="17">
        <f>'Unit 1 Tracker'!U12</f>
        <v>25</v>
      </c>
      <c r="V12" s="17">
        <f>'Unit 1 Tracker'!V12</f>
        <v>40</v>
      </c>
      <c r="W12" s="17">
        <f>'Unit 1 Tracker'!W12</f>
        <v>30</v>
      </c>
      <c r="X12" s="17">
        <f>'Unit 1 Tracker'!X12</f>
        <v>20</v>
      </c>
      <c r="Y12" s="17">
        <f>'Unit 1 Tracker'!Y12</f>
        <v>15</v>
      </c>
      <c r="Z12" s="17">
        <f>'Unit 1 Tracker'!Z12</f>
        <v>130</v>
      </c>
      <c r="AA12" s="23">
        <f>'Unit 1 Tracker'!AA12</f>
        <v>0</v>
      </c>
      <c r="AB12" s="17">
        <f>'Unit 1 Tracker'!AB12</f>
        <v>130</v>
      </c>
      <c r="AC12" s="17" t="str">
        <f>'Unit 1 Tracker'!AC12</f>
        <v>Use private property + firms + markets</v>
      </c>
      <c r="AD12" s="17">
        <f>'Unit 1 Tracker'!AD12</f>
        <v>0</v>
      </c>
      <c r="AE12" s="17">
        <f t="shared" si="0"/>
        <v>4</v>
      </c>
      <c r="AF12" s="18">
        <f t="shared" si="1"/>
        <v>140</v>
      </c>
    </row>
    <row r="13" spans="1:32" ht="68.25" customHeight="1">
      <c r="A13" s="16" t="str">
        <f>'Unit 1 Tracker'!A13</f>
        <v>U1-09</v>
      </c>
      <c r="B13" s="17" t="str">
        <f>'Unit 1 Tracker'!B13</f>
        <v>Unit 1</v>
      </c>
      <c r="C13" s="17" t="str">
        <f>'Unit 1 Tracker'!C13</f>
        <v>Colonization, varieties of capitalism, and the biosphere</v>
      </c>
      <c r="D13" s="17" t="str">
        <f>'Unit 1 Tracker'!D13</f>
        <v>Pink</v>
      </c>
      <c r="E13" s="17" t="str">
        <f>'Unit 1 Tracker'!E13</f>
        <v>Merged</v>
      </c>
      <c r="F13" s="17" t="str">
        <f>'Unit 1 Tracker'!F13</f>
        <v>A1</v>
      </c>
      <c r="G13" s="17">
        <f>'Unit 1 Tracker'!G13</f>
        <v>0</v>
      </c>
      <c r="H13" s="17" t="str">
        <f>'Unit 1 Tracker'!H13</f>
        <v>High</v>
      </c>
      <c r="I13" s="17">
        <f>'Unit 1 Tracker'!I13</f>
        <v>1</v>
      </c>
      <c r="J13" s="17" t="str">
        <f>'Unit 1 Tracker'!J13</f>
        <v>No</v>
      </c>
      <c r="K13" s="17" t="str">
        <f>'Unit 1 Tracker'!K13</f>
        <v>No</v>
      </c>
      <c r="L13" s="17" t="str">
        <f>'Unit 1 Tracker'!L13</f>
        <v>No</v>
      </c>
      <c r="M13" s="17" t="str">
        <f>'Unit 1 Tracker'!M13</f>
        <v>No</v>
      </c>
      <c r="N13" s="17" t="str">
        <f>'Unit 1 Tracker'!N13</f>
        <v>No</v>
      </c>
      <c r="O13" s="17" t="str">
        <f>'Unit 1 Tracker'!O13</f>
        <v>No</v>
      </c>
      <c r="P13" s="17" t="str">
        <f>'Unit 1 Tracker'!P13</f>
        <v>No</v>
      </c>
      <c r="Q13" s="17" t="str">
        <f>'Unit 1 Tracker'!Q13</f>
        <v>No</v>
      </c>
      <c r="R13" s="17" t="str">
        <f>'Unit 1 Tracker'!R13</f>
        <v>No</v>
      </c>
      <c r="S13" s="17" t="str">
        <f>'Unit 1 Tracker'!S13</f>
        <v>No</v>
      </c>
      <c r="T13" s="17" t="str">
        <f>'Unit 1 Tracker'!T13</f>
        <v>Planned</v>
      </c>
      <c r="U13" s="17">
        <f>'Unit 1 Tracker'!U13</f>
        <v>25</v>
      </c>
      <c r="V13" s="17">
        <f>'Unit 1 Tracker'!V13</f>
        <v>40</v>
      </c>
      <c r="W13" s="17">
        <f>'Unit 1 Tracker'!W13</f>
        <v>30</v>
      </c>
      <c r="X13" s="17">
        <f>'Unit 1 Tracker'!X13</f>
        <v>20</v>
      </c>
      <c r="Y13" s="17">
        <f>'Unit 1 Tracker'!Y13</f>
        <v>20</v>
      </c>
      <c r="Z13" s="17">
        <f>'Unit 1 Tracker'!Z13</f>
        <v>135</v>
      </c>
      <c r="AA13" s="23">
        <f>'Unit 1 Tracker'!AA13</f>
        <v>0</v>
      </c>
      <c r="AB13" s="17">
        <f>'Unit 1 Tracker'!AB13</f>
        <v>135</v>
      </c>
      <c r="AC13" s="17" t="str">
        <f>'Unit 1 Tracker'!AC13</f>
        <v>Link history, institutions, and environmental limits</v>
      </c>
      <c r="AD13" s="17">
        <f>'Unit 1 Tracker'!AD13</f>
        <v>0</v>
      </c>
      <c r="AE13" s="17">
        <f t="shared" si="0"/>
        <v>3</v>
      </c>
      <c r="AF13" s="18">
        <f t="shared" si="1"/>
        <v>132</v>
      </c>
    </row>
    <row r="14" spans="1:32" ht="45.5" customHeight="1">
      <c r="A14" s="16" t="str">
        <f>'Unit 2 Tracker'!A5</f>
        <v>U2-01</v>
      </c>
      <c r="B14" s="17" t="str">
        <f>'Unit 2 Tracker'!B5</f>
        <v>Unit 2</v>
      </c>
      <c r="C14" s="17" t="str">
        <f>'Unit 2 Tracker'!C5</f>
        <v>Kutesmart, automation, and the opening technology story</v>
      </c>
      <c r="D14" s="17" t="str">
        <f>'Unit 2 Tracker'!D5</f>
        <v>Purple</v>
      </c>
      <c r="E14" s="17" t="str">
        <f>'Unit 2 Tracker'!E5</f>
        <v>Merged</v>
      </c>
      <c r="F14" s="17" t="str">
        <f>'Unit 2 Tracker'!F5</f>
        <v>A1</v>
      </c>
      <c r="G14" s="17">
        <f>'Unit 2 Tracker'!G5</f>
        <v>0</v>
      </c>
      <c r="H14" s="17" t="str">
        <f>'Unit 2 Tracker'!H5</f>
        <v>Medium</v>
      </c>
      <c r="I14" s="17">
        <f>'Unit 2 Tracker'!I5</f>
        <v>1</v>
      </c>
      <c r="J14" s="17" t="str">
        <f>'Unit 2 Tracker'!J5</f>
        <v>No</v>
      </c>
      <c r="K14" s="17" t="str">
        <f>'Unit 2 Tracker'!K5</f>
        <v>No</v>
      </c>
      <c r="L14" s="17" t="str">
        <f>'Unit 2 Tracker'!L5</f>
        <v>No</v>
      </c>
      <c r="M14" s="17" t="str">
        <f>'Unit 2 Tracker'!M5</f>
        <v>No</v>
      </c>
      <c r="N14" s="17" t="str">
        <f>'Unit 2 Tracker'!N5</f>
        <v>No</v>
      </c>
      <c r="O14" s="17" t="str">
        <f>'Unit 2 Tracker'!O5</f>
        <v>No</v>
      </c>
      <c r="P14" s="17" t="str">
        <f>'Unit 2 Tracker'!P5</f>
        <v>No</v>
      </c>
      <c r="Q14" s="17" t="str">
        <f>'Unit 2 Tracker'!Q5</f>
        <v>No</v>
      </c>
      <c r="R14" s="17" t="str">
        <f>'Unit 2 Tracker'!R5</f>
        <v>No</v>
      </c>
      <c r="S14" s="17" t="str">
        <f>'Unit 2 Tracker'!S5</f>
        <v>No</v>
      </c>
      <c r="T14" s="17" t="str">
        <f>'Unit 2 Tracker'!T5</f>
        <v>Not started</v>
      </c>
      <c r="U14" s="17">
        <f>'Unit 2 Tracker'!U5</f>
        <v>15</v>
      </c>
      <c r="V14" s="17">
        <f>'Unit 2 Tracker'!V5</f>
        <v>20</v>
      </c>
      <c r="W14" s="17">
        <f>'Unit 2 Tracker'!W5</f>
        <v>15</v>
      </c>
      <c r="X14" s="17">
        <f>'Unit 2 Tracker'!X5</f>
        <v>10</v>
      </c>
      <c r="Y14" s="17">
        <f>'Unit 2 Tracker'!Y5</f>
        <v>10</v>
      </c>
      <c r="Z14" s="17">
        <f>'Unit 2 Tracker'!Z5</f>
        <v>70</v>
      </c>
      <c r="AA14" s="23">
        <f>'Unit 2 Tracker'!AA5</f>
        <v>0</v>
      </c>
      <c r="AB14" s="17">
        <f>'Unit 2 Tracker'!AB5</f>
        <v>70</v>
      </c>
      <c r="AC14" s="17" t="str">
        <f>'Unit 2 Tracker'!AC5</f>
        <v>Use it as the intuition for the whole unit</v>
      </c>
      <c r="AD14" s="17">
        <f>'Unit 2 Tracker'!AD5</f>
        <v>0</v>
      </c>
      <c r="AE14" s="17">
        <f t="shared" si="0"/>
        <v>2</v>
      </c>
      <c r="AF14" s="18">
        <f t="shared" si="1"/>
        <v>124</v>
      </c>
    </row>
    <row r="15" spans="1:32" ht="68.25" customHeight="1">
      <c r="A15" s="16" t="str">
        <f>'Unit 2 Tracker'!A6</f>
        <v>U2-02</v>
      </c>
      <c r="B15" s="17" t="str">
        <f>'Unit 2 Tracker'!B6</f>
        <v>Unit 2</v>
      </c>
      <c r="C15" s="17" t="str">
        <f>'Unit 2 Tracker'!C6</f>
        <v>Opportunity cost, economic cost, reservation option, and economic rent</v>
      </c>
      <c r="D15" s="17" t="str">
        <f>'Unit 2 Tracker'!D6</f>
        <v>Dark Blue</v>
      </c>
      <c r="E15" s="17" t="str">
        <f>'Unit 2 Tracker'!E6</f>
        <v>Merged</v>
      </c>
      <c r="F15" s="17" t="str">
        <f>'Unit 2 Tracker'!F6</f>
        <v>A1</v>
      </c>
      <c r="G15" s="17">
        <f>'Unit 2 Tracker'!G6</f>
        <v>0</v>
      </c>
      <c r="H15" s="17" t="str">
        <f>'Unit 2 Tracker'!H6</f>
        <v>Critical</v>
      </c>
      <c r="I15" s="17">
        <f>'Unit 2 Tracker'!I6</f>
        <v>1</v>
      </c>
      <c r="J15" s="17" t="str">
        <f>'Unit 2 Tracker'!J6</f>
        <v>No</v>
      </c>
      <c r="K15" s="17" t="str">
        <f>'Unit 2 Tracker'!K6</f>
        <v>No</v>
      </c>
      <c r="L15" s="17" t="str">
        <f>'Unit 2 Tracker'!L6</f>
        <v>No</v>
      </c>
      <c r="M15" s="17" t="str">
        <f>'Unit 2 Tracker'!M6</f>
        <v>No</v>
      </c>
      <c r="N15" s="17" t="str">
        <f>'Unit 2 Tracker'!N6</f>
        <v>No</v>
      </c>
      <c r="O15" s="17" t="str">
        <f>'Unit 2 Tracker'!O6</f>
        <v>No</v>
      </c>
      <c r="P15" s="17" t="str">
        <f>'Unit 2 Tracker'!P6</f>
        <v>No</v>
      </c>
      <c r="Q15" s="17" t="str">
        <f>'Unit 2 Tracker'!Q6</f>
        <v>No</v>
      </c>
      <c r="R15" s="17" t="str">
        <f>'Unit 2 Tracker'!R6</f>
        <v>No</v>
      </c>
      <c r="S15" s="17" t="str">
        <f>'Unit 2 Tracker'!S6</f>
        <v>No</v>
      </c>
      <c r="T15" s="17" t="str">
        <f>'Unit 2 Tracker'!T6</f>
        <v>Not started</v>
      </c>
      <c r="U15" s="17">
        <f>'Unit 2 Tracker'!U6</f>
        <v>25</v>
      </c>
      <c r="V15" s="17">
        <f>'Unit 2 Tracker'!V6</f>
        <v>35</v>
      </c>
      <c r="W15" s="17">
        <f>'Unit 2 Tracker'!W6</f>
        <v>25</v>
      </c>
      <c r="X15" s="17">
        <f>'Unit 2 Tracker'!X6</f>
        <v>25</v>
      </c>
      <c r="Y15" s="17">
        <f>'Unit 2 Tracker'!Y6</f>
        <v>10</v>
      </c>
      <c r="Z15" s="17">
        <f>'Unit 2 Tracker'!Z6</f>
        <v>120</v>
      </c>
      <c r="AA15" s="23">
        <f>'Unit 2 Tracker'!AA6</f>
        <v>0</v>
      </c>
      <c r="AB15" s="17">
        <f>'Unit 2 Tracker'!AB6</f>
        <v>120</v>
      </c>
      <c r="AC15" s="17" t="str">
        <f>'Unit 2 Tracker'!AC6</f>
        <v>Practise the Sipho/concert-style logic</v>
      </c>
      <c r="AD15" s="17">
        <f>'Unit 2 Tracker'!AD6</f>
        <v>0</v>
      </c>
      <c r="AE15" s="17">
        <f t="shared" si="0"/>
        <v>4</v>
      </c>
      <c r="AF15" s="18">
        <f t="shared" si="1"/>
        <v>140</v>
      </c>
    </row>
    <row r="16" spans="1:32" ht="45.5" customHeight="1">
      <c r="A16" s="16" t="str">
        <f>'Unit 2 Tracker'!A7</f>
        <v>U2-03</v>
      </c>
      <c r="B16" s="17" t="str">
        <f>'Unit 2 Tracker'!B7</f>
        <v>Unit 2</v>
      </c>
      <c r="C16" s="17" t="str">
        <f>'Unit 2 Tracker'!C7</f>
        <v>Relative prices</v>
      </c>
      <c r="D16" s="17" t="str">
        <f>'Unit 2 Tracker'!D7</f>
        <v>Light Blue</v>
      </c>
      <c r="E16" s="17" t="str">
        <f>'Unit 2 Tracker'!E7</f>
        <v>Merged</v>
      </c>
      <c r="F16" s="17" t="str">
        <f>'Unit 2 Tracker'!F7</f>
        <v>A1</v>
      </c>
      <c r="G16" s="17">
        <f>'Unit 2 Tracker'!G7</f>
        <v>0</v>
      </c>
      <c r="H16" s="17" t="str">
        <f>'Unit 2 Tracker'!H7</f>
        <v>High</v>
      </c>
      <c r="I16" s="17">
        <f>'Unit 2 Tracker'!I7</f>
        <v>1</v>
      </c>
      <c r="J16" s="17" t="str">
        <f>'Unit 2 Tracker'!J7</f>
        <v>No</v>
      </c>
      <c r="K16" s="17" t="str">
        <f>'Unit 2 Tracker'!K7</f>
        <v>No</v>
      </c>
      <c r="L16" s="17" t="str">
        <f>'Unit 2 Tracker'!L7</f>
        <v>No</v>
      </c>
      <c r="M16" s="17" t="str">
        <f>'Unit 2 Tracker'!M7</f>
        <v>No</v>
      </c>
      <c r="N16" s="17" t="str">
        <f>'Unit 2 Tracker'!N7</f>
        <v>No</v>
      </c>
      <c r="O16" s="17" t="str">
        <f>'Unit 2 Tracker'!O7</f>
        <v>No</v>
      </c>
      <c r="P16" s="17" t="str">
        <f>'Unit 2 Tracker'!P7</f>
        <v>No</v>
      </c>
      <c r="Q16" s="17" t="str">
        <f>'Unit 2 Tracker'!Q7</f>
        <v>No</v>
      </c>
      <c r="R16" s="17" t="str">
        <f>'Unit 2 Tracker'!R7</f>
        <v>No</v>
      </c>
      <c r="S16" s="17" t="str">
        <f>'Unit 2 Tracker'!S7</f>
        <v>No</v>
      </c>
      <c r="T16" s="17" t="str">
        <f>'Unit 2 Tracker'!T7</f>
        <v>Not started</v>
      </c>
      <c r="U16" s="17">
        <f>'Unit 2 Tracker'!U7</f>
        <v>15</v>
      </c>
      <c r="V16" s="17">
        <f>'Unit 2 Tracker'!V7</f>
        <v>25</v>
      </c>
      <c r="W16" s="17">
        <f>'Unit 2 Tracker'!W7</f>
        <v>20</v>
      </c>
      <c r="X16" s="17">
        <f>'Unit 2 Tracker'!X7</f>
        <v>20</v>
      </c>
      <c r="Y16" s="17">
        <f>'Unit 2 Tracker'!Y7</f>
        <v>10</v>
      </c>
      <c r="Z16" s="17">
        <f>'Unit 2 Tracker'!Z7</f>
        <v>90</v>
      </c>
      <c r="AA16" s="23">
        <f>'Unit 2 Tracker'!AA7</f>
        <v>0</v>
      </c>
      <c r="AB16" s="17">
        <f>'Unit 2 Tracker'!AB7</f>
        <v>90</v>
      </c>
      <c r="AC16" s="17" t="str">
        <f>'Unit 2 Tracker'!AC7</f>
        <v>Compare money price vs relative price</v>
      </c>
      <c r="AD16" s="17">
        <f>'Unit 2 Tracker'!AD7</f>
        <v>0</v>
      </c>
      <c r="AE16" s="17">
        <f t="shared" si="0"/>
        <v>3</v>
      </c>
      <c r="AF16" s="18">
        <f t="shared" si="1"/>
        <v>132</v>
      </c>
    </row>
    <row r="17" spans="1:32" ht="68.25" customHeight="1">
      <c r="A17" s="16" t="str">
        <f>'Unit 2 Tracker'!A8</f>
        <v>U2-04</v>
      </c>
      <c r="B17" s="17" t="str">
        <f>'Unit 2 Tracker'!B8</f>
        <v>Unit 2</v>
      </c>
      <c r="C17" s="17" t="str">
        <f>'Unit 2 Tracker'!C8</f>
        <v>Comparative advantage, specialization, and division of labour</v>
      </c>
      <c r="D17" s="17" t="str">
        <f>'Unit 2 Tracker'!D8</f>
        <v>Dark Green</v>
      </c>
      <c r="E17" s="17" t="str">
        <f>'Unit 2 Tracker'!E8</f>
        <v>Merged</v>
      </c>
      <c r="F17" s="17" t="str">
        <f>'Unit 2 Tracker'!F8</f>
        <v>A1</v>
      </c>
      <c r="G17" s="17">
        <f>'Unit 2 Tracker'!G8</f>
        <v>0</v>
      </c>
      <c r="H17" s="17" t="str">
        <f>'Unit 2 Tracker'!H8</f>
        <v>Critical</v>
      </c>
      <c r="I17" s="17">
        <f>'Unit 2 Tracker'!I8</f>
        <v>1</v>
      </c>
      <c r="J17" s="17" t="str">
        <f>'Unit 2 Tracker'!J8</f>
        <v>No</v>
      </c>
      <c r="K17" s="17" t="str">
        <f>'Unit 2 Tracker'!K8</f>
        <v>No</v>
      </c>
      <c r="L17" s="17" t="str">
        <f>'Unit 2 Tracker'!L8</f>
        <v>No</v>
      </c>
      <c r="M17" s="17" t="str">
        <f>'Unit 2 Tracker'!M8</f>
        <v>No</v>
      </c>
      <c r="N17" s="17" t="str">
        <f>'Unit 2 Tracker'!N8</f>
        <v>No</v>
      </c>
      <c r="O17" s="17" t="str">
        <f>'Unit 2 Tracker'!O8</f>
        <v>No</v>
      </c>
      <c r="P17" s="17" t="str">
        <f>'Unit 2 Tracker'!P8</f>
        <v>No</v>
      </c>
      <c r="Q17" s="17" t="str">
        <f>'Unit 2 Tracker'!Q8</f>
        <v>No</v>
      </c>
      <c r="R17" s="17" t="str">
        <f>'Unit 2 Tracker'!R8</f>
        <v>No</v>
      </c>
      <c r="S17" s="17" t="str">
        <f>'Unit 2 Tracker'!S8</f>
        <v>No</v>
      </c>
      <c r="T17" s="17" t="str">
        <f>'Unit 2 Tracker'!T8</f>
        <v>Not started</v>
      </c>
      <c r="U17" s="17">
        <f>'Unit 2 Tracker'!U8</f>
        <v>25</v>
      </c>
      <c r="V17" s="17">
        <f>'Unit 2 Tracker'!V8</f>
        <v>35</v>
      </c>
      <c r="W17" s="17">
        <f>'Unit 2 Tracker'!W8</f>
        <v>25</v>
      </c>
      <c r="X17" s="17">
        <f>'Unit 2 Tracker'!X8</f>
        <v>20</v>
      </c>
      <c r="Y17" s="17">
        <f>'Unit 2 Tracker'!Y8</f>
        <v>20</v>
      </c>
      <c r="Z17" s="17">
        <f>'Unit 2 Tracker'!Z8</f>
        <v>125</v>
      </c>
      <c r="AA17" s="23">
        <f>'Unit 2 Tracker'!AA8</f>
        <v>0</v>
      </c>
      <c r="AB17" s="17">
        <f>'Unit 2 Tracker'!AB8</f>
        <v>125</v>
      </c>
      <c r="AC17" s="17" t="str">
        <f>'Unit 2 Tracker'!AC8</f>
        <v>Always talk in terms of opportunity cost</v>
      </c>
      <c r="AD17" s="17">
        <f>'Unit 2 Tracker'!AD8</f>
        <v>0</v>
      </c>
      <c r="AE17" s="17">
        <f t="shared" si="0"/>
        <v>4</v>
      </c>
      <c r="AF17" s="18">
        <f t="shared" si="1"/>
        <v>140</v>
      </c>
    </row>
    <row r="18" spans="1:32" ht="68.25" customHeight="1">
      <c r="A18" s="16" t="str">
        <f>'Unit 2 Tracker'!A9</f>
        <v>U2-05</v>
      </c>
      <c r="B18" s="17" t="str">
        <f>'Unit 2 Tracker'!B9</f>
        <v>Unit 2</v>
      </c>
      <c r="C18" s="17" t="str">
        <f>'Unit 2 Tracker'!C9</f>
        <v>Firms, technology, production, and dominated technologies</v>
      </c>
      <c r="D18" s="17" t="str">
        <f>'Unit 2 Tracker'!D9</f>
        <v>Pastel Green</v>
      </c>
      <c r="E18" s="17" t="str">
        <f>'Unit 2 Tracker'!E9</f>
        <v>Merged</v>
      </c>
      <c r="F18" s="17" t="str">
        <f>'Unit 2 Tracker'!F9</f>
        <v>A1</v>
      </c>
      <c r="G18" s="17">
        <f>'Unit 2 Tracker'!G9</f>
        <v>0</v>
      </c>
      <c r="H18" s="17" t="str">
        <f>'Unit 2 Tracker'!H9</f>
        <v>High</v>
      </c>
      <c r="I18" s="17">
        <f>'Unit 2 Tracker'!I9</f>
        <v>1</v>
      </c>
      <c r="J18" s="17" t="str">
        <f>'Unit 2 Tracker'!J9</f>
        <v>No</v>
      </c>
      <c r="K18" s="17" t="str">
        <f>'Unit 2 Tracker'!K9</f>
        <v>No</v>
      </c>
      <c r="L18" s="17" t="str">
        <f>'Unit 2 Tracker'!L9</f>
        <v>No</v>
      </c>
      <c r="M18" s="17" t="str">
        <f>'Unit 2 Tracker'!M9</f>
        <v>No</v>
      </c>
      <c r="N18" s="17" t="str">
        <f>'Unit 2 Tracker'!N9</f>
        <v>No</v>
      </c>
      <c r="O18" s="17" t="str">
        <f>'Unit 2 Tracker'!O9</f>
        <v>No</v>
      </c>
      <c r="P18" s="17" t="str">
        <f>'Unit 2 Tracker'!P9</f>
        <v>No</v>
      </c>
      <c r="Q18" s="17" t="str">
        <f>'Unit 2 Tracker'!Q9</f>
        <v>No</v>
      </c>
      <c r="R18" s="17" t="str">
        <f>'Unit 2 Tracker'!R9</f>
        <v>No</v>
      </c>
      <c r="S18" s="17" t="str">
        <f>'Unit 2 Tracker'!S9</f>
        <v>No</v>
      </c>
      <c r="T18" s="17" t="str">
        <f>'Unit 2 Tracker'!T9</f>
        <v>Not started</v>
      </c>
      <c r="U18" s="17">
        <f>'Unit 2 Tracker'!U9</f>
        <v>20</v>
      </c>
      <c r="V18" s="17">
        <f>'Unit 2 Tracker'!V9</f>
        <v>35</v>
      </c>
      <c r="W18" s="17">
        <f>'Unit 2 Tracker'!W9</f>
        <v>25</v>
      </c>
      <c r="X18" s="17">
        <f>'Unit 2 Tracker'!X9</f>
        <v>20</v>
      </c>
      <c r="Y18" s="17">
        <f>'Unit 2 Tracker'!Y9</f>
        <v>20</v>
      </c>
      <c r="Z18" s="17">
        <f>'Unit 2 Tracker'!Z9</f>
        <v>120</v>
      </c>
      <c r="AA18" s="23">
        <f>'Unit 2 Tracker'!AA9</f>
        <v>0</v>
      </c>
      <c r="AB18" s="17">
        <f>'Unit 2 Tracker'!AB9</f>
        <v>120</v>
      </c>
      <c r="AC18" s="17" t="str">
        <f>'Unit 2 Tracker'!AC9</f>
        <v>Dominated ≠ cheapest, explain both</v>
      </c>
      <c r="AD18" s="17">
        <f>'Unit 2 Tracker'!AD9</f>
        <v>0</v>
      </c>
      <c r="AE18" s="17">
        <f t="shared" si="0"/>
        <v>3</v>
      </c>
      <c r="AF18" s="18">
        <f t="shared" si="1"/>
        <v>132</v>
      </c>
    </row>
    <row r="19" spans="1:32" ht="68.25" customHeight="1">
      <c r="A19" s="16" t="str">
        <f>'Unit 2 Tracker'!A10</f>
        <v>U2-06</v>
      </c>
      <c r="B19" s="17" t="str">
        <f>'Unit 2 Tracker'!B10</f>
        <v>Unit 2</v>
      </c>
      <c r="C19" s="17" t="str">
        <f>'Unit 2 Tracker'!C10</f>
        <v>Isocost logic and cost-minimizing technology choice</v>
      </c>
      <c r="D19" s="17" t="str">
        <f>'Unit 2 Tracker'!D10</f>
        <v>Pastel Yellow</v>
      </c>
      <c r="E19" s="17" t="str">
        <f>'Unit 2 Tracker'!E10</f>
        <v>Merged</v>
      </c>
      <c r="F19" s="17" t="str">
        <f>'Unit 2 Tracker'!F10</f>
        <v>A1</v>
      </c>
      <c r="G19" s="17">
        <f>'Unit 2 Tracker'!G10</f>
        <v>0</v>
      </c>
      <c r="H19" s="17" t="str">
        <f>'Unit 2 Tracker'!H10</f>
        <v>Critical</v>
      </c>
      <c r="I19" s="17">
        <f>'Unit 2 Tracker'!I10</f>
        <v>1</v>
      </c>
      <c r="J19" s="17" t="str">
        <f>'Unit 2 Tracker'!J10</f>
        <v>No</v>
      </c>
      <c r="K19" s="17" t="str">
        <f>'Unit 2 Tracker'!K10</f>
        <v>No</v>
      </c>
      <c r="L19" s="17" t="str">
        <f>'Unit 2 Tracker'!L10</f>
        <v>No</v>
      </c>
      <c r="M19" s="17" t="str">
        <f>'Unit 2 Tracker'!M10</f>
        <v>No</v>
      </c>
      <c r="N19" s="17" t="str">
        <f>'Unit 2 Tracker'!N10</f>
        <v>No</v>
      </c>
      <c r="O19" s="17" t="str">
        <f>'Unit 2 Tracker'!O10</f>
        <v>No</v>
      </c>
      <c r="P19" s="17" t="str">
        <f>'Unit 2 Tracker'!P10</f>
        <v>No</v>
      </c>
      <c r="Q19" s="17" t="str">
        <f>'Unit 2 Tracker'!Q10</f>
        <v>No</v>
      </c>
      <c r="R19" s="17" t="str">
        <f>'Unit 2 Tracker'!R10</f>
        <v>No</v>
      </c>
      <c r="S19" s="17" t="str">
        <f>'Unit 2 Tracker'!S10</f>
        <v>No</v>
      </c>
      <c r="T19" s="17" t="str">
        <f>'Unit 2 Tracker'!T10</f>
        <v>Not started</v>
      </c>
      <c r="U19" s="17">
        <f>'Unit 2 Tracker'!U10</f>
        <v>20</v>
      </c>
      <c r="V19" s="17">
        <f>'Unit 2 Tracker'!V10</f>
        <v>35</v>
      </c>
      <c r="W19" s="17">
        <f>'Unit 2 Tracker'!W10</f>
        <v>30</v>
      </c>
      <c r="X19" s="17">
        <f>'Unit 2 Tracker'!X10</f>
        <v>25</v>
      </c>
      <c r="Y19" s="17">
        <f>'Unit 2 Tracker'!Y10</f>
        <v>25</v>
      </c>
      <c r="Z19" s="17">
        <f>'Unit 2 Tracker'!Z10</f>
        <v>135</v>
      </c>
      <c r="AA19" s="23">
        <f>'Unit 2 Tracker'!AA10</f>
        <v>0</v>
      </c>
      <c r="AB19" s="17">
        <f>'Unit 2 Tracker'!AB10</f>
        <v>135</v>
      </c>
      <c r="AC19" s="17" t="str">
        <f>'Unit 2 Tracker'!AC10</f>
        <v>Use wage/capital-price changes carefully</v>
      </c>
      <c r="AD19" s="17">
        <f>'Unit 2 Tracker'!AD10</f>
        <v>0</v>
      </c>
      <c r="AE19" s="17">
        <f t="shared" si="0"/>
        <v>4</v>
      </c>
      <c r="AF19" s="18">
        <f t="shared" si="1"/>
        <v>140</v>
      </c>
    </row>
    <row r="20" spans="1:32" ht="45.5" customHeight="1">
      <c r="A20" s="16" t="str">
        <f>'Unit 2 Tracker'!A11</f>
        <v>U2-07</v>
      </c>
      <c r="B20" s="17" t="str">
        <f>'Unit 2 Tracker'!B11</f>
        <v>Unit 2</v>
      </c>
      <c r="C20" s="17" t="str">
        <f>'Unit 2 Tracker'!C11</f>
        <v>Innovation and profit / innovation rents</v>
      </c>
      <c r="D20" s="17" t="str">
        <f>'Unit 2 Tracker'!D11</f>
        <v>Orange</v>
      </c>
      <c r="E20" s="17" t="str">
        <f>'Unit 2 Tracker'!E11</f>
        <v>Merged</v>
      </c>
      <c r="F20" s="17" t="str">
        <f>'Unit 2 Tracker'!F11</f>
        <v>A1</v>
      </c>
      <c r="G20" s="17">
        <f>'Unit 2 Tracker'!G11</f>
        <v>0</v>
      </c>
      <c r="H20" s="17" t="str">
        <f>'Unit 2 Tracker'!H11</f>
        <v>Medium</v>
      </c>
      <c r="I20" s="17">
        <f>'Unit 2 Tracker'!I11</f>
        <v>1</v>
      </c>
      <c r="J20" s="17" t="str">
        <f>'Unit 2 Tracker'!J11</f>
        <v>No</v>
      </c>
      <c r="K20" s="17" t="str">
        <f>'Unit 2 Tracker'!K11</f>
        <v>No</v>
      </c>
      <c r="L20" s="17" t="str">
        <f>'Unit 2 Tracker'!L11</f>
        <v>No</v>
      </c>
      <c r="M20" s="17" t="str">
        <f>'Unit 2 Tracker'!M11</f>
        <v>No</v>
      </c>
      <c r="N20" s="17" t="str">
        <f>'Unit 2 Tracker'!N11</f>
        <v>No</v>
      </c>
      <c r="O20" s="17" t="str">
        <f>'Unit 2 Tracker'!O11</f>
        <v>No</v>
      </c>
      <c r="P20" s="17" t="str">
        <f>'Unit 2 Tracker'!P11</f>
        <v>No</v>
      </c>
      <c r="Q20" s="17" t="str">
        <f>'Unit 2 Tracker'!Q11</f>
        <v>No</v>
      </c>
      <c r="R20" s="17" t="str">
        <f>'Unit 2 Tracker'!R11</f>
        <v>No</v>
      </c>
      <c r="S20" s="17" t="str">
        <f>'Unit 2 Tracker'!S11</f>
        <v>No</v>
      </c>
      <c r="T20" s="17" t="str">
        <f>'Unit 2 Tracker'!T11</f>
        <v>Not started</v>
      </c>
      <c r="U20" s="17">
        <f>'Unit 2 Tracker'!U11</f>
        <v>15</v>
      </c>
      <c r="V20" s="17">
        <f>'Unit 2 Tracker'!V11</f>
        <v>25</v>
      </c>
      <c r="W20" s="17">
        <f>'Unit 2 Tracker'!W11</f>
        <v>20</v>
      </c>
      <c r="X20" s="17">
        <f>'Unit 2 Tracker'!X11</f>
        <v>15</v>
      </c>
      <c r="Y20" s="17">
        <f>'Unit 2 Tracker'!Y11</f>
        <v>10</v>
      </c>
      <c r="Z20" s="17">
        <f>'Unit 2 Tracker'!Z11</f>
        <v>85</v>
      </c>
      <c r="AA20" s="23">
        <f>'Unit 2 Tracker'!AA11</f>
        <v>0</v>
      </c>
      <c r="AB20" s="17">
        <f>'Unit 2 Tracker'!AB11</f>
        <v>85</v>
      </c>
      <c r="AC20" s="17" t="str">
        <f>'Unit 2 Tracker'!AC11</f>
        <v>Remember rents are temporary</v>
      </c>
      <c r="AD20" s="17">
        <f>'Unit 2 Tracker'!AD11</f>
        <v>0</v>
      </c>
      <c r="AE20" s="17">
        <f t="shared" si="0"/>
        <v>2</v>
      </c>
      <c r="AF20" s="18">
        <f t="shared" si="1"/>
        <v>124</v>
      </c>
    </row>
    <row r="21" spans="1:32" ht="45.5" customHeight="1">
      <c r="A21" s="16" t="str">
        <f>'Unit 2 Tracker'!A12</f>
        <v>U2-08</v>
      </c>
      <c r="B21" s="17" t="str">
        <f>'Unit 2 Tracker'!B12</f>
        <v>Unit 2</v>
      </c>
      <c r="C21" s="17" t="str">
        <f>'Unit 2 Tracker'!C12</f>
        <v>Cheap coal, expensive labour, and the Industrial Revolution</v>
      </c>
      <c r="D21" s="17" t="str">
        <f>'Unit 2 Tracker'!D12</f>
        <v>Red</v>
      </c>
      <c r="E21" s="17" t="str">
        <f>'Unit 2 Tracker'!E12</f>
        <v>Merged</v>
      </c>
      <c r="F21" s="17" t="str">
        <f>'Unit 2 Tracker'!F12</f>
        <v>A1</v>
      </c>
      <c r="G21" s="17">
        <f>'Unit 2 Tracker'!G12</f>
        <v>0</v>
      </c>
      <c r="H21" s="17" t="str">
        <f>'Unit 2 Tracker'!H12</f>
        <v>Critical</v>
      </c>
      <c r="I21" s="17">
        <f>'Unit 2 Tracker'!I12</f>
        <v>1</v>
      </c>
      <c r="J21" s="17" t="str">
        <f>'Unit 2 Tracker'!J12</f>
        <v>No</v>
      </c>
      <c r="K21" s="17" t="str">
        <f>'Unit 2 Tracker'!K12</f>
        <v>No</v>
      </c>
      <c r="L21" s="17" t="str">
        <f>'Unit 2 Tracker'!L12</f>
        <v>No</v>
      </c>
      <c r="M21" s="17" t="str">
        <f>'Unit 2 Tracker'!M12</f>
        <v>No</v>
      </c>
      <c r="N21" s="17" t="str">
        <f>'Unit 2 Tracker'!N12</f>
        <v>No</v>
      </c>
      <c r="O21" s="17" t="str">
        <f>'Unit 2 Tracker'!O12</f>
        <v>No</v>
      </c>
      <c r="P21" s="17" t="str">
        <f>'Unit 2 Tracker'!P12</f>
        <v>No</v>
      </c>
      <c r="Q21" s="17" t="str">
        <f>'Unit 2 Tracker'!Q12</f>
        <v>No</v>
      </c>
      <c r="R21" s="17" t="str">
        <f>'Unit 2 Tracker'!R12</f>
        <v>No</v>
      </c>
      <c r="S21" s="17" t="str">
        <f>'Unit 2 Tracker'!S12</f>
        <v>No</v>
      </c>
      <c r="T21" s="17" t="str">
        <f>'Unit 2 Tracker'!T12</f>
        <v>Not started</v>
      </c>
      <c r="U21" s="17">
        <f>'Unit 2 Tracker'!U12</f>
        <v>25</v>
      </c>
      <c r="V21" s="17">
        <f>'Unit 2 Tracker'!V12</f>
        <v>40</v>
      </c>
      <c r="W21" s="17">
        <f>'Unit 2 Tracker'!W12</f>
        <v>30</v>
      </c>
      <c r="X21" s="17">
        <f>'Unit 2 Tracker'!X12</f>
        <v>20</v>
      </c>
      <c r="Y21" s="17">
        <f>'Unit 2 Tracker'!Y12</f>
        <v>20</v>
      </c>
      <c r="Z21" s="17">
        <f>'Unit 2 Tracker'!Z12</f>
        <v>135</v>
      </c>
      <c r="AA21" s="23">
        <f>'Unit 2 Tracker'!AA12</f>
        <v>0</v>
      </c>
      <c r="AB21" s="17">
        <f>'Unit 2 Tracker'!AB12</f>
        <v>135</v>
      </c>
      <c r="AC21" s="17" t="str">
        <f>'Unit 2 Tracker'!AC12</f>
        <v>Explain incentives, not just inventions</v>
      </c>
      <c r="AD21" s="17">
        <f>'Unit 2 Tracker'!AD12</f>
        <v>0</v>
      </c>
      <c r="AE21" s="17">
        <f t="shared" si="0"/>
        <v>4</v>
      </c>
      <c r="AF21" s="18">
        <f t="shared" si="1"/>
        <v>140</v>
      </c>
    </row>
    <row r="22" spans="1:32" ht="45.5" customHeight="1">
      <c r="A22" s="16" t="str">
        <f>'Unit 2 Tracker'!A13</f>
        <v>U2-09</v>
      </c>
      <c r="B22" s="17" t="str">
        <f>'Unit 2 Tracker'!B13</f>
        <v>Unit 2</v>
      </c>
      <c r="C22" s="17" t="str">
        <f>'Unit 2 Tracker'!C13</f>
        <v>Escape from the Malthusian trap, growth, and capitalism + carbon</v>
      </c>
      <c r="D22" s="17" t="str">
        <f>'Unit 2 Tracker'!D13</f>
        <v>Pink</v>
      </c>
      <c r="E22" s="17" t="str">
        <f>'Unit 2 Tracker'!E13</f>
        <v>Merged</v>
      </c>
      <c r="F22" s="17" t="str">
        <f>'Unit 2 Tracker'!F13</f>
        <v>A1</v>
      </c>
      <c r="G22" s="17">
        <f>'Unit 2 Tracker'!G13</f>
        <v>0</v>
      </c>
      <c r="H22" s="17" t="str">
        <f>'Unit 2 Tracker'!H13</f>
        <v>High</v>
      </c>
      <c r="I22" s="17">
        <f>'Unit 2 Tracker'!I13</f>
        <v>1</v>
      </c>
      <c r="J22" s="17" t="str">
        <f>'Unit 2 Tracker'!J13</f>
        <v>No</v>
      </c>
      <c r="K22" s="17" t="str">
        <f>'Unit 2 Tracker'!K13</f>
        <v>No</v>
      </c>
      <c r="L22" s="17" t="str">
        <f>'Unit 2 Tracker'!L13</f>
        <v>No</v>
      </c>
      <c r="M22" s="17" t="str">
        <f>'Unit 2 Tracker'!M13</f>
        <v>No</v>
      </c>
      <c r="N22" s="17" t="str">
        <f>'Unit 2 Tracker'!N13</f>
        <v>No</v>
      </c>
      <c r="O22" s="17" t="str">
        <f>'Unit 2 Tracker'!O13</f>
        <v>No</v>
      </c>
      <c r="P22" s="17" t="str">
        <f>'Unit 2 Tracker'!P13</f>
        <v>No</v>
      </c>
      <c r="Q22" s="17" t="str">
        <f>'Unit 2 Tracker'!Q13</f>
        <v>No</v>
      </c>
      <c r="R22" s="17" t="str">
        <f>'Unit 2 Tracker'!R13</f>
        <v>No</v>
      </c>
      <c r="S22" s="17" t="str">
        <f>'Unit 2 Tracker'!S13</f>
        <v>No</v>
      </c>
      <c r="T22" s="17" t="str">
        <f>'Unit 2 Tracker'!T13</f>
        <v>Not started</v>
      </c>
      <c r="U22" s="17">
        <f>'Unit 2 Tracker'!U13</f>
        <v>20</v>
      </c>
      <c r="V22" s="17">
        <f>'Unit 2 Tracker'!V13</f>
        <v>35</v>
      </c>
      <c r="W22" s="17">
        <f>'Unit 2 Tracker'!W13</f>
        <v>25</v>
      </c>
      <c r="X22" s="17">
        <f>'Unit 2 Tracker'!X13</f>
        <v>20</v>
      </c>
      <c r="Y22" s="17">
        <f>'Unit 2 Tracker'!Y13</f>
        <v>20</v>
      </c>
      <c r="Z22" s="17">
        <f>'Unit 2 Tracker'!Z13</f>
        <v>120</v>
      </c>
      <c r="AA22" s="23">
        <f>'Unit 2 Tracker'!AA13</f>
        <v>0</v>
      </c>
      <c r="AB22" s="17">
        <f>'Unit 2 Tracker'!AB13</f>
        <v>120</v>
      </c>
      <c r="AC22" s="17" t="str">
        <f>'Unit 2 Tracker'!AC13</f>
        <v>Connect back to Unit 1 clearly</v>
      </c>
      <c r="AD22" s="17">
        <f>'Unit 2 Tracker'!AD13</f>
        <v>0</v>
      </c>
      <c r="AE22" s="17">
        <f t="shared" si="0"/>
        <v>3</v>
      </c>
      <c r="AF22" s="18">
        <f t="shared" si="1"/>
        <v>132</v>
      </c>
    </row>
    <row r="23" spans="1:32" ht="68.25" customHeight="1">
      <c r="A23" s="16" t="str">
        <f>'Unit 3 Tracker'!A5</f>
        <v>U3-01</v>
      </c>
      <c r="B23" s="17" t="str">
        <f>'Unit 3 Tracker'!B5</f>
        <v>Unit 3</v>
      </c>
      <c r="C23" s="17" t="str">
        <f>'Unit 3 Tracker'!C5</f>
        <v>Scarcity and the consumer-choice model</v>
      </c>
      <c r="D23" s="17" t="str">
        <f>'Unit 3 Tracker'!D5</f>
        <v>Purple</v>
      </c>
      <c r="E23" s="17" t="str">
        <f>'Unit 3 Tracker'!E5</f>
        <v>Merged</v>
      </c>
      <c r="F23" s="17" t="str">
        <f>'Unit 3 Tracker'!F5</f>
        <v>A1</v>
      </c>
      <c r="G23" s="17">
        <f>'Unit 3 Tracker'!G5</f>
        <v>0</v>
      </c>
      <c r="H23" s="17" t="str">
        <f>'Unit 3 Tracker'!H5</f>
        <v>High</v>
      </c>
      <c r="I23" s="17">
        <f>'Unit 3 Tracker'!I5</f>
        <v>1</v>
      </c>
      <c r="J23" s="17" t="str">
        <f>'Unit 3 Tracker'!J5</f>
        <v>No</v>
      </c>
      <c r="K23" s="17" t="str">
        <f>'Unit 3 Tracker'!K5</f>
        <v>No</v>
      </c>
      <c r="L23" s="17" t="str">
        <f>'Unit 3 Tracker'!L5</f>
        <v>No</v>
      </c>
      <c r="M23" s="17" t="str">
        <f>'Unit 3 Tracker'!M5</f>
        <v>No</v>
      </c>
      <c r="N23" s="17" t="str">
        <f>'Unit 3 Tracker'!N5</f>
        <v>No</v>
      </c>
      <c r="O23" s="17" t="str">
        <f>'Unit 3 Tracker'!O5</f>
        <v>No</v>
      </c>
      <c r="P23" s="17" t="str">
        <f>'Unit 3 Tracker'!P5</f>
        <v>No</v>
      </c>
      <c r="Q23" s="17" t="str">
        <f>'Unit 3 Tracker'!Q5</f>
        <v>No</v>
      </c>
      <c r="R23" s="17" t="str">
        <f>'Unit 3 Tracker'!R5</f>
        <v>No</v>
      </c>
      <c r="S23" s="17" t="str">
        <f>'Unit 3 Tracker'!S5</f>
        <v>No</v>
      </c>
      <c r="T23" s="17" t="str">
        <f>'Unit 3 Tracker'!T5</f>
        <v>Not started</v>
      </c>
      <c r="U23" s="17">
        <f>'Unit 3 Tracker'!U5</f>
        <v>15</v>
      </c>
      <c r="V23" s="17">
        <f>'Unit 3 Tracker'!V5</f>
        <v>25</v>
      </c>
      <c r="W23" s="17">
        <f>'Unit 3 Tracker'!W5</f>
        <v>20</v>
      </c>
      <c r="X23" s="17">
        <f>'Unit 3 Tracker'!X5</f>
        <v>10</v>
      </c>
      <c r="Y23" s="17">
        <f>'Unit 3 Tracker'!Y5</f>
        <v>10</v>
      </c>
      <c r="Z23" s="17">
        <f>'Unit 3 Tracker'!Z5</f>
        <v>80</v>
      </c>
      <c r="AA23" s="23">
        <f>'Unit 3 Tracker'!AA5</f>
        <v>0</v>
      </c>
      <c r="AB23" s="17">
        <f>'Unit 3 Tracker'!AB5</f>
        <v>80</v>
      </c>
      <c r="AC23" s="17" t="str">
        <f>'Unit 3 Tracker'!AC5</f>
        <v>Always say preferences + constraints</v>
      </c>
      <c r="AD23" s="17">
        <f>'Unit 3 Tracker'!AD5</f>
        <v>0</v>
      </c>
      <c r="AE23" s="17">
        <f t="shared" si="0"/>
        <v>3</v>
      </c>
      <c r="AF23" s="18">
        <f t="shared" si="1"/>
        <v>132</v>
      </c>
    </row>
    <row r="24" spans="1:32" ht="45.5" customHeight="1">
      <c r="A24" s="16" t="str">
        <f>'Unit 3 Tracker'!A6</f>
        <v>U3-02</v>
      </c>
      <c r="B24" s="17" t="str">
        <f>'Unit 3 Tracker'!B6</f>
        <v>Unit 3</v>
      </c>
      <c r="C24" s="17" t="str">
        <f>'Unit 3 Tracker'!C6</f>
        <v>Preferences, utility, indifference curves, and diminishing MRS</v>
      </c>
      <c r="D24" s="17" t="str">
        <f>'Unit 3 Tracker'!D6</f>
        <v>Dark Blue</v>
      </c>
      <c r="E24" s="17" t="str">
        <f>'Unit 3 Tracker'!E6</f>
        <v>Merged</v>
      </c>
      <c r="F24" s="17" t="str">
        <f>'Unit 3 Tracker'!F6</f>
        <v>A1</v>
      </c>
      <c r="G24" s="17">
        <f>'Unit 3 Tracker'!G6</f>
        <v>0</v>
      </c>
      <c r="H24" s="17" t="str">
        <f>'Unit 3 Tracker'!H6</f>
        <v>Critical</v>
      </c>
      <c r="I24" s="17">
        <f>'Unit 3 Tracker'!I6</f>
        <v>1</v>
      </c>
      <c r="J24" s="17" t="str">
        <f>'Unit 3 Tracker'!J6</f>
        <v>No</v>
      </c>
      <c r="K24" s="17" t="str">
        <f>'Unit 3 Tracker'!K6</f>
        <v>No</v>
      </c>
      <c r="L24" s="17" t="str">
        <f>'Unit 3 Tracker'!L6</f>
        <v>No</v>
      </c>
      <c r="M24" s="17" t="str">
        <f>'Unit 3 Tracker'!M6</f>
        <v>No</v>
      </c>
      <c r="N24" s="17" t="str">
        <f>'Unit 3 Tracker'!N6</f>
        <v>No</v>
      </c>
      <c r="O24" s="17" t="str">
        <f>'Unit 3 Tracker'!O6</f>
        <v>No</v>
      </c>
      <c r="P24" s="17" t="str">
        <f>'Unit 3 Tracker'!P6</f>
        <v>No</v>
      </c>
      <c r="Q24" s="17" t="str">
        <f>'Unit 3 Tracker'!Q6</f>
        <v>No</v>
      </c>
      <c r="R24" s="17" t="str">
        <f>'Unit 3 Tracker'!R6</f>
        <v>No</v>
      </c>
      <c r="S24" s="17" t="str">
        <f>'Unit 3 Tracker'!S6</f>
        <v>No</v>
      </c>
      <c r="T24" s="17" t="str">
        <f>'Unit 3 Tracker'!T6</f>
        <v>Not started</v>
      </c>
      <c r="U24" s="17">
        <f>'Unit 3 Tracker'!U6</f>
        <v>25</v>
      </c>
      <c r="V24" s="17">
        <f>'Unit 3 Tracker'!V6</f>
        <v>40</v>
      </c>
      <c r="W24" s="17">
        <f>'Unit 3 Tracker'!W6</f>
        <v>30</v>
      </c>
      <c r="X24" s="17">
        <f>'Unit 3 Tracker'!X6</f>
        <v>20</v>
      </c>
      <c r="Y24" s="17">
        <f>'Unit 3 Tracker'!Y6</f>
        <v>25</v>
      </c>
      <c r="Z24" s="17">
        <f>'Unit 3 Tracker'!Z6</f>
        <v>140</v>
      </c>
      <c r="AA24" s="23">
        <f>'Unit 3 Tracker'!AA6</f>
        <v>0</v>
      </c>
      <c r="AB24" s="17">
        <f>'Unit 3 Tracker'!AB6</f>
        <v>140</v>
      </c>
      <c r="AC24" s="17" t="str">
        <f>'Unit 3 Tracker'!AC6</f>
        <v>Do not let ICs shift when budget changes</v>
      </c>
      <c r="AD24" s="17">
        <f>'Unit 3 Tracker'!AD6</f>
        <v>0</v>
      </c>
      <c r="AE24" s="17">
        <f t="shared" si="0"/>
        <v>4</v>
      </c>
      <c r="AF24" s="18">
        <f t="shared" si="1"/>
        <v>140</v>
      </c>
    </row>
    <row r="25" spans="1:32" ht="45.5" customHeight="1">
      <c r="A25" s="16" t="str">
        <f>'Unit 3 Tracker'!A7</f>
        <v>U3-03</v>
      </c>
      <c r="B25" s="17" t="str">
        <f>'Unit 3 Tracker'!B7</f>
        <v>Unit 3</v>
      </c>
      <c r="C25" s="17" t="str">
        <f>'Unit 3 Tracker'!C7</f>
        <v>Budget constraints, feasible sets, MRT, and relative prices</v>
      </c>
      <c r="D25" s="17" t="str">
        <f>'Unit 3 Tracker'!D7</f>
        <v>Light Blue</v>
      </c>
      <c r="E25" s="17" t="str">
        <f>'Unit 3 Tracker'!E7</f>
        <v>Merged</v>
      </c>
      <c r="F25" s="17" t="str">
        <f>'Unit 3 Tracker'!F7</f>
        <v>A1</v>
      </c>
      <c r="G25" s="17">
        <f>'Unit 3 Tracker'!G7</f>
        <v>0</v>
      </c>
      <c r="H25" s="17" t="str">
        <f>'Unit 3 Tracker'!H7</f>
        <v>Critical</v>
      </c>
      <c r="I25" s="17">
        <f>'Unit 3 Tracker'!I7</f>
        <v>1</v>
      </c>
      <c r="J25" s="17" t="str">
        <f>'Unit 3 Tracker'!J7</f>
        <v>No</v>
      </c>
      <c r="K25" s="17" t="str">
        <f>'Unit 3 Tracker'!K7</f>
        <v>No</v>
      </c>
      <c r="L25" s="17" t="str">
        <f>'Unit 3 Tracker'!L7</f>
        <v>No</v>
      </c>
      <c r="M25" s="17" t="str">
        <f>'Unit 3 Tracker'!M7</f>
        <v>No</v>
      </c>
      <c r="N25" s="17" t="str">
        <f>'Unit 3 Tracker'!N7</f>
        <v>No</v>
      </c>
      <c r="O25" s="17" t="str">
        <f>'Unit 3 Tracker'!O7</f>
        <v>No</v>
      </c>
      <c r="P25" s="17" t="str">
        <f>'Unit 3 Tracker'!P7</f>
        <v>No</v>
      </c>
      <c r="Q25" s="17" t="str">
        <f>'Unit 3 Tracker'!Q7</f>
        <v>No</v>
      </c>
      <c r="R25" s="17" t="str">
        <f>'Unit 3 Tracker'!R7</f>
        <v>No</v>
      </c>
      <c r="S25" s="17" t="str">
        <f>'Unit 3 Tracker'!S7</f>
        <v>No</v>
      </c>
      <c r="T25" s="17" t="str">
        <f>'Unit 3 Tracker'!T7</f>
        <v>Not started</v>
      </c>
      <c r="U25" s="17">
        <f>'Unit 3 Tracker'!U7</f>
        <v>25</v>
      </c>
      <c r="V25" s="17">
        <f>'Unit 3 Tracker'!V7</f>
        <v>35</v>
      </c>
      <c r="W25" s="17">
        <f>'Unit 3 Tracker'!W7</f>
        <v>30</v>
      </c>
      <c r="X25" s="17">
        <f>'Unit 3 Tracker'!X7</f>
        <v>25</v>
      </c>
      <c r="Y25" s="17">
        <f>'Unit 3 Tracker'!Y7</f>
        <v>25</v>
      </c>
      <c r="Z25" s="17">
        <f>'Unit 3 Tracker'!Z7</f>
        <v>140</v>
      </c>
      <c r="AA25" s="23">
        <f>'Unit 3 Tracker'!AA7</f>
        <v>0</v>
      </c>
      <c r="AB25" s="17">
        <f>'Unit 3 Tracker'!AB7</f>
        <v>140</v>
      </c>
      <c r="AC25" s="17" t="str">
        <f>'Unit 3 Tracker'!AC7</f>
        <v>Write the line equation from scratch</v>
      </c>
      <c r="AD25" s="17">
        <f>'Unit 3 Tracker'!AD7</f>
        <v>0</v>
      </c>
      <c r="AE25" s="17">
        <f t="shared" si="0"/>
        <v>4</v>
      </c>
      <c r="AF25" s="18">
        <f t="shared" si="1"/>
        <v>140</v>
      </c>
    </row>
    <row r="26" spans="1:32" ht="45.5" customHeight="1">
      <c r="A26" s="16" t="str">
        <f>'Unit 3 Tracker'!A8</f>
        <v>U3-04</v>
      </c>
      <c r="B26" s="17" t="str">
        <f>'Unit 3 Tracker'!B8</f>
        <v>Unit 3</v>
      </c>
      <c r="C26" s="17" t="str">
        <f>'Unit 3 Tracker'!C8</f>
        <v>Optimal choice and MRS = MRT</v>
      </c>
      <c r="D26" s="17" t="str">
        <f>'Unit 3 Tracker'!D8</f>
        <v>Dark Green</v>
      </c>
      <c r="E26" s="17" t="str">
        <f>'Unit 3 Tracker'!E8</f>
        <v>Merged</v>
      </c>
      <c r="F26" s="17" t="str">
        <f>'Unit 3 Tracker'!F8</f>
        <v>A1</v>
      </c>
      <c r="G26" s="17">
        <f>'Unit 3 Tracker'!G8</f>
        <v>0</v>
      </c>
      <c r="H26" s="17" t="str">
        <f>'Unit 3 Tracker'!H8</f>
        <v>Critical</v>
      </c>
      <c r="I26" s="17">
        <f>'Unit 3 Tracker'!I8</f>
        <v>1</v>
      </c>
      <c r="J26" s="17" t="str">
        <f>'Unit 3 Tracker'!J8</f>
        <v>No</v>
      </c>
      <c r="K26" s="17" t="str">
        <f>'Unit 3 Tracker'!K8</f>
        <v>No</v>
      </c>
      <c r="L26" s="17" t="str">
        <f>'Unit 3 Tracker'!L8</f>
        <v>No</v>
      </c>
      <c r="M26" s="17" t="str">
        <f>'Unit 3 Tracker'!M8</f>
        <v>No</v>
      </c>
      <c r="N26" s="17" t="str">
        <f>'Unit 3 Tracker'!N8</f>
        <v>No</v>
      </c>
      <c r="O26" s="17" t="str">
        <f>'Unit 3 Tracker'!O8</f>
        <v>No</v>
      </c>
      <c r="P26" s="17" t="str">
        <f>'Unit 3 Tracker'!P8</f>
        <v>No</v>
      </c>
      <c r="Q26" s="17" t="str">
        <f>'Unit 3 Tracker'!Q8</f>
        <v>No</v>
      </c>
      <c r="R26" s="17" t="str">
        <f>'Unit 3 Tracker'!R8</f>
        <v>No</v>
      </c>
      <c r="S26" s="17" t="str">
        <f>'Unit 3 Tracker'!S8</f>
        <v>No</v>
      </c>
      <c r="T26" s="17" t="str">
        <f>'Unit 3 Tracker'!T8</f>
        <v>Not started</v>
      </c>
      <c r="U26" s="17">
        <f>'Unit 3 Tracker'!U8</f>
        <v>20</v>
      </c>
      <c r="V26" s="17">
        <f>'Unit 3 Tracker'!V8</f>
        <v>30</v>
      </c>
      <c r="W26" s="17">
        <f>'Unit 3 Tracker'!W8</f>
        <v>25</v>
      </c>
      <c r="X26" s="17">
        <f>'Unit 3 Tracker'!X8</f>
        <v>20</v>
      </c>
      <c r="Y26" s="17">
        <f>'Unit 3 Tracker'!Y8</f>
        <v>20</v>
      </c>
      <c r="Z26" s="17">
        <f>'Unit 3 Tracker'!Z8</f>
        <v>115</v>
      </c>
      <c r="AA26" s="23">
        <f>'Unit 3 Tracker'!AA8</f>
        <v>0</v>
      </c>
      <c r="AB26" s="17">
        <f>'Unit 3 Tracker'!AB8</f>
        <v>115</v>
      </c>
      <c r="AC26" s="17" t="str">
        <f>'Unit 3 Tracker'!AC8</f>
        <v>Explain highest attainable IC</v>
      </c>
      <c r="AD26" s="17">
        <f>'Unit 3 Tracker'!AD8</f>
        <v>0</v>
      </c>
      <c r="AE26" s="17">
        <f t="shared" si="0"/>
        <v>4</v>
      </c>
      <c r="AF26" s="18">
        <f t="shared" si="1"/>
        <v>140</v>
      </c>
    </row>
    <row r="27" spans="1:32" ht="68.25" customHeight="1">
      <c r="A27" s="16" t="str">
        <f>'Unit 3 Tracker'!A9</f>
        <v>U3-05</v>
      </c>
      <c r="B27" s="17" t="str">
        <f>'Unit 3 Tracker'!B9</f>
        <v>Unit 3</v>
      </c>
      <c r="C27" s="17" t="str">
        <f>'Unit 3 Tracker'!C9</f>
        <v>Price effect, income effect, and substitution effect for goods</v>
      </c>
      <c r="D27" s="17" t="str">
        <f>'Unit 3 Tracker'!D9</f>
        <v>Pastel Green</v>
      </c>
      <c r="E27" s="17" t="str">
        <f>'Unit 3 Tracker'!E9</f>
        <v>Merged</v>
      </c>
      <c r="F27" s="17" t="str">
        <f>'Unit 3 Tracker'!F9</f>
        <v>A1</v>
      </c>
      <c r="G27" s="17">
        <f>'Unit 3 Tracker'!G9</f>
        <v>0</v>
      </c>
      <c r="H27" s="17" t="str">
        <f>'Unit 3 Tracker'!H9</f>
        <v>Critical</v>
      </c>
      <c r="I27" s="17">
        <f>'Unit 3 Tracker'!I9</f>
        <v>1</v>
      </c>
      <c r="J27" s="17" t="str">
        <f>'Unit 3 Tracker'!J9</f>
        <v>No</v>
      </c>
      <c r="K27" s="17" t="str">
        <f>'Unit 3 Tracker'!K9</f>
        <v>No</v>
      </c>
      <c r="L27" s="17" t="str">
        <f>'Unit 3 Tracker'!L9</f>
        <v>No</v>
      </c>
      <c r="M27" s="17" t="str">
        <f>'Unit 3 Tracker'!M9</f>
        <v>No</v>
      </c>
      <c r="N27" s="17" t="str">
        <f>'Unit 3 Tracker'!N9</f>
        <v>No</v>
      </c>
      <c r="O27" s="17" t="str">
        <f>'Unit 3 Tracker'!O9</f>
        <v>No</v>
      </c>
      <c r="P27" s="17" t="str">
        <f>'Unit 3 Tracker'!P9</f>
        <v>No</v>
      </c>
      <c r="Q27" s="17" t="str">
        <f>'Unit 3 Tracker'!Q9</f>
        <v>No</v>
      </c>
      <c r="R27" s="17" t="str">
        <f>'Unit 3 Tracker'!R9</f>
        <v>No</v>
      </c>
      <c r="S27" s="17" t="str">
        <f>'Unit 3 Tracker'!S9</f>
        <v>No</v>
      </c>
      <c r="T27" s="17" t="str">
        <f>'Unit 3 Tracker'!T9</f>
        <v>Not started</v>
      </c>
      <c r="U27" s="17">
        <f>'Unit 3 Tracker'!U9</f>
        <v>25</v>
      </c>
      <c r="V27" s="17">
        <f>'Unit 3 Tracker'!V9</f>
        <v>40</v>
      </c>
      <c r="W27" s="17">
        <f>'Unit 3 Tracker'!W9</f>
        <v>35</v>
      </c>
      <c r="X27" s="17">
        <f>'Unit 3 Tracker'!X9</f>
        <v>25</v>
      </c>
      <c r="Y27" s="17">
        <f>'Unit 3 Tracker'!Y9</f>
        <v>25</v>
      </c>
      <c r="Z27" s="17">
        <f>'Unit 3 Tracker'!Z9</f>
        <v>150</v>
      </c>
      <c r="AA27" s="23">
        <f>'Unit 3 Tracker'!AA9</f>
        <v>0</v>
      </c>
      <c r="AB27" s="17">
        <f>'Unit 3 Tracker'!AB9</f>
        <v>150</v>
      </c>
      <c r="AC27" s="17" t="str">
        <f>'Unit 3 Tracker'!AC9</f>
        <v>Be able to separate the two effects cleanly</v>
      </c>
      <c r="AD27" s="17">
        <f>'Unit 3 Tracker'!AD9</f>
        <v>0</v>
      </c>
      <c r="AE27" s="17">
        <f t="shared" si="0"/>
        <v>4</v>
      </c>
      <c r="AF27" s="18">
        <f t="shared" si="1"/>
        <v>140</v>
      </c>
    </row>
    <row r="28" spans="1:32" ht="68.25" customHeight="1">
      <c r="A28" s="16" t="str">
        <f>'Unit 3 Tracker'!A10</f>
        <v>U3-06</v>
      </c>
      <c r="B28" s="17" t="str">
        <f>'Unit 3 Tracker'!B10</f>
        <v>Unit 3</v>
      </c>
      <c r="C28" s="17" t="str">
        <f>'Unit 3 Tracker'!C10</f>
        <v>Work, free time, and the labour-supply model</v>
      </c>
      <c r="D28" s="17" t="str">
        <f>'Unit 3 Tracker'!D10</f>
        <v>Pastel Yellow</v>
      </c>
      <c r="E28" s="17" t="str">
        <f>'Unit 3 Tracker'!E10</f>
        <v>Merged</v>
      </c>
      <c r="F28" s="17" t="str">
        <f>'Unit 3 Tracker'!F10</f>
        <v>A1</v>
      </c>
      <c r="G28" s="17">
        <f>'Unit 3 Tracker'!G10</f>
        <v>0</v>
      </c>
      <c r="H28" s="17" t="str">
        <f>'Unit 3 Tracker'!H10</f>
        <v>High</v>
      </c>
      <c r="I28" s="17">
        <f>'Unit 3 Tracker'!I10</f>
        <v>1</v>
      </c>
      <c r="J28" s="17" t="str">
        <f>'Unit 3 Tracker'!J10</f>
        <v>No</v>
      </c>
      <c r="K28" s="17" t="str">
        <f>'Unit 3 Tracker'!K10</f>
        <v>No</v>
      </c>
      <c r="L28" s="17" t="str">
        <f>'Unit 3 Tracker'!L10</f>
        <v>No</v>
      </c>
      <c r="M28" s="17" t="str">
        <f>'Unit 3 Tracker'!M10</f>
        <v>No</v>
      </c>
      <c r="N28" s="17" t="str">
        <f>'Unit 3 Tracker'!N10</f>
        <v>No</v>
      </c>
      <c r="O28" s="17" t="str">
        <f>'Unit 3 Tracker'!O10</f>
        <v>No</v>
      </c>
      <c r="P28" s="17" t="str">
        <f>'Unit 3 Tracker'!P10</f>
        <v>No</v>
      </c>
      <c r="Q28" s="17" t="str">
        <f>'Unit 3 Tracker'!Q10</f>
        <v>No</v>
      </c>
      <c r="R28" s="17" t="str">
        <f>'Unit 3 Tracker'!R10</f>
        <v>No</v>
      </c>
      <c r="S28" s="17" t="str">
        <f>'Unit 3 Tracker'!S10</f>
        <v>No</v>
      </c>
      <c r="T28" s="17" t="str">
        <f>'Unit 3 Tracker'!T10</f>
        <v>Not started</v>
      </c>
      <c r="U28" s="17">
        <f>'Unit 3 Tracker'!U10</f>
        <v>20</v>
      </c>
      <c r="V28" s="17">
        <f>'Unit 3 Tracker'!V10</f>
        <v>35</v>
      </c>
      <c r="W28" s="17">
        <f>'Unit 3 Tracker'!W10</f>
        <v>30</v>
      </c>
      <c r="X28" s="17">
        <f>'Unit 3 Tracker'!X10</f>
        <v>20</v>
      </c>
      <c r="Y28" s="17">
        <f>'Unit 3 Tracker'!Y10</f>
        <v>20</v>
      </c>
      <c r="Z28" s="17">
        <f>'Unit 3 Tracker'!Z10</f>
        <v>125</v>
      </c>
      <c r="AA28" s="23">
        <f>'Unit 3 Tracker'!AA10</f>
        <v>0</v>
      </c>
      <c r="AB28" s="17">
        <f>'Unit 3 Tracker'!AB10</f>
        <v>125</v>
      </c>
      <c r="AC28" s="17" t="str">
        <f>'Unit 3 Tracker'!AC10</f>
        <v>Wage is the opportunity cost of free time</v>
      </c>
      <c r="AD28" s="17">
        <f>'Unit 3 Tracker'!AD10</f>
        <v>0</v>
      </c>
      <c r="AE28" s="17">
        <f t="shared" si="0"/>
        <v>3</v>
      </c>
      <c r="AF28" s="18">
        <f t="shared" si="1"/>
        <v>132</v>
      </c>
    </row>
    <row r="29" spans="1:32" ht="68.25" customHeight="1">
      <c r="A29" s="16" t="str">
        <f>'Unit 3 Tracker'!A11</f>
        <v>U3-07</v>
      </c>
      <c r="B29" s="17" t="str">
        <f>'Unit 3 Tracker'!B11</f>
        <v>Unit 3</v>
      </c>
      <c r="C29" s="17" t="str">
        <f>'Unit 3 Tracker'!C11</f>
        <v>Wage changes: income vs substitution effects on hours worked</v>
      </c>
      <c r="D29" s="17" t="str">
        <f>'Unit 3 Tracker'!D11</f>
        <v>Orange</v>
      </c>
      <c r="E29" s="17" t="str">
        <f>'Unit 3 Tracker'!E11</f>
        <v>Merged</v>
      </c>
      <c r="F29" s="17" t="str">
        <f>'Unit 3 Tracker'!F11</f>
        <v>A1</v>
      </c>
      <c r="G29" s="17">
        <f>'Unit 3 Tracker'!G11</f>
        <v>0</v>
      </c>
      <c r="H29" s="17" t="str">
        <f>'Unit 3 Tracker'!H11</f>
        <v>Critical</v>
      </c>
      <c r="I29" s="17">
        <f>'Unit 3 Tracker'!I11</f>
        <v>1</v>
      </c>
      <c r="J29" s="17" t="str">
        <f>'Unit 3 Tracker'!J11</f>
        <v>No</v>
      </c>
      <c r="K29" s="17" t="str">
        <f>'Unit 3 Tracker'!K11</f>
        <v>No</v>
      </c>
      <c r="L29" s="17" t="str">
        <f>'Unit 3 Tracker'!L11</f>
        <v>No</v>
      </c>
      <c r="M29" s="17" t="str">
        <f>'Unit 3 Tracker'!M11</f>
        <v>No</v>
      </c>
      <c r="N29" s="17" t="str">
        <f>'Unit 3 Tracker'!N11</f>
        <v>No</v>
      </c>
      <c r="O29" s="17" t="str">
        <f>'Unit 3 Tracker'!O11</f>
        <v>No</v>
      </c>
      <c r="P29" s="17" t="str">
        <f>'Unit 3 Tracker'!P11</f>
        <v>No</v>
      </c>
      <c r="Q29" s="17" t="str">
        <f>'Unit 3 Tracker'!Q11</f>
        <v>No</v>
      </c>
      <c r="R29" s="17" t="str">
        <f>'Unit 3 Tracker'!R11</f>
        <v>No</v>
      </c>
      <c r="S29" s="17" t="str">
        <f>'Unit 3 Tracker'!S11</f>
        <v>No</v>
      </c>
      <c r="T29" s="17" t="str">
        <f>'Unit 3 Tracker'!T11</f>
        <v>Not started</v>
      </c>
      <c r="U29" s="17">
        <f>'Unit 3 Tracker'!U11</f>
        <v>25</v>
      </c>
      <c r="V29" s="17">
        <f>'Unit 3 Tracker'!V11</f>
        <v>35</v>
      </c>
      <c r="W29" s="17">
        <f>'Unit 3 Tracker'!W11</f>
        <v>30</v>
      </c>
      <c r="X29" s="17">
        <f>'Unit 3 Tracker'!X11</f>
        <v>20</v>
      </c>
      <c r="Y29" s="17">
        <f>'Unit 3 Tracker'!Y11</f>
        <v>25</v>
      </c>
      <c r="Z29" s="17">
        <f>'Unit 3 Tracker'!Z11</f>
        <v>135</v>
      </c>
      <c r="AA29" s="23">
        <f>'Unit 3 Tracker'!AA11</f>
        <v>0</v>
      </c>
      <c r="AB29" s="17">
        <f>'Unit 3 Tracker'!AB11</f>
        <v>135</v>
      </c>
      <c r="AC29" s="17" t="str">
        <f>'Unit 3 Tracker'!AC11</f>
        <v>Dominant effect depends on behaviour</v>
      </c>
      <c r="AD29" s="17">
        <f>'Unit 3 Tracker'!AD11</f>
        <v>0</v>
      </c>
      <c r="AE29" s="17">
        <f t="shared" si="0"/>
        <v>4</v>
      </c>
      <c r="AF29" s="18">
        <f t="shared" si="1"/>
        <v>140</v>
      </c>
    </row>
    <row r="30" spans="1:32" ht="68.25" customHeight="1">
      <c r="A30" s="16" t="str">
        <f>'Unit 3 Tracker'!A12</f>
        <v>U3-08</v>
      </c>
      <c r="B30" s="17" t="str">
        <f>'Unit 3 Tracker'!B12</f>
        <v>Unit 3</v>
      </c>
      <c r="C30" s="17" t="str">
        <f>'Unit 3 Tracker'!C12</f>
        <v>Model limits, country differences, and long-run changes in work hours</v>
      </c>
      <c r="D30" s="17" t="str">
        <f>'Unit 3 Tracker'!D12</f>
        <v>Pink</v>
      </c>
      <c r="E30" s="17" t="str">
        <f>'Unit 3 Tracker'!E12</f>
        <v>Merged</v>
      </c>
      <c r="F30" s="17" t="str">
        <f>'Unit 3 Tracker'!F12</f>
        <v>A1</v>
      </c>
      <c r="G30" s="17">
        <f>'Unit 3 Tracker'!G12</f>
        <v>0</v>
      </c>
      <c r="H30" s="17" t="str">
        <f>'Unit 3 Tracker'!H12</f>
        <v>Medium</v>
      </c>
      <c r="I30" s="17">
        <f>'Unit 3 Tracker'!I12</f>
        <v>1</v>
      </c>
      <c r="J30" s="17" t="str">
        <f>'Unit 3 Tracker'!J12</f>
        <v>No</v>
      </c>
      <c r="K30" s="17" t="str">
        <f>'Unit 3 Tracker'!K12</f>
        <v>No</v>
      </c>
      <c r="L30" s="17" t="str">
        <f>'Unit 3 Tracker'!L12</f>
        <v>No</v>
      </c>
      <c r="M30" s="17" t="str">
        <f>'Unit 3 Tracker'!M12</f>
        <v>No</v>
      </c>
      <c r="N30" s="17" t="str">
        <f>'Unit 3 Tracker'!N12</f>
        <v>No</v>
      </c>
      <c r="O30" s="17" t="str">
        <f>'Unit 3 Tracker'!O12</f>
        <v>No</v>
      </c>
      <c r="P30" s="17" t="str">
        <f>'Unit 3 Tracker'!P12</f>
        <v>No</v>
      </c>
      <c r="Q30" s="17" t="str">
        <f>'Unit 3 Tracker'!Q12</f>
        <v>No</v>
      </c>
      <c r="R30" s="17" t="str">
        <f>'Unit 3 Tracker'!R12</f>
        <v>No</v>
      </c>
      <c r="S30" s="17" t="str">
        <f>'Unit 3 Tracker'!S12</f>
        <v>No</v>
      </c>
      <c r="T30" s="17" t="str">
        <f>'Unit 3 Tracker'!T12</f>
        <v>Not started</v>
      </c>
      <c r="U30" s="17">
        <f>'Unit 3 Tracker'!U12</f>
        <v>20</v>
      </c>
      <c r="V30" s="17">
        <f>'Unit 3 Tracker'!V12</f>
        <v>30</v>
      </c>
      <c r="W30" s="17">
        <f>'Unit 3 Tracker'!W12</f>
        <v>20</v>
      </c>
      <c r="X30" s="17">
        <f>'Unit 3 Tracker'!X12</f>
        <v>15</v>
      </c>
      <c r="Y30" s="17">
        <f>'Unit 3 Tracker'!Y12</f>
        <v>10</v>
      </c>
      <c r="Z30" s="17">
        <f>'Unit 3 Tracker'!Z12</f>
        <v>95</v>
      </c>
      <c r="AA30" s="23">
        <f>'Unit 3 Tracker'!AA12</f>
        <v>0</v>
      </c>
      <c r="AB30" s="17">
        <f>'Unit 3 Tracker'!AB12</f>
        <v>95</v>
      </c>
      <c r="AC30" s="17" t="str">
        <f>'Unit 3 Tracker'!AC12</f>
        <v>Give one strength and one limitation</v>
      </c>
      <c r="AD30" s="17">
        <f>'Unit 3 Tracker'!AD12</f>
        <v>0</v>
      </c>
      <c r="AE30" s="17">
        <f t="shared" si="0"/>
        <v>2</v>
      </c>
      <c r="AF30" s="18">
        <f t="shared" si="1"/>
        <v>124</v>
      </c>
    </row>
    <row r="31" spans="1:32" ht="68.25" customHeight="1">
      <c r="A31" s="16" t="str">
        <f>'Unit 4 Tracker'!A5</f>
        <v>U4-01</v>
      </c>
      <c r="B31" s="17" t="str">
        <f>'Unit 4 Tracker'!B5</f>
        <v>Unit 4</v>
      </c>
      <c r="C31" s="17" t="str">
        <f>'Unit 4 Tracker'!C5</f>
        <v>Climate negotiations, social dilemmas, and tragedy of the commons</v>
      </c>
      <c r="D31" s="17" t="str">
        <f>'Unit 4 Tracker'!D5</f>
        <v>Purple</v>
      </c>
      <c r="E31" s="17" t="str">
        <f>'Unit 4 Tracker'!E5</f>
        <v>Merged</v>
      </c>
      <c r="F31" s="17" t="str">
        <f>'Unit 4 Tracker'!F5</f>
        <v>A1</v>
      </c>
      <c r="G31" s="17">
        <f>'Unit 4 Tracker'!G5</f>
        <v>0</v>
      </c>
      <c r="H31" s="17" t="str">
        <f>'Unit 4 Tracker'!H5</f>
        <v>Critical</v>
      </c>
      <c r="I31" s="17">
        <f>'Unit 4 Tracker'!I5</f>
        <v>1</v>
      </c>
      <c r="J31" s="17" t="str">
        <f>'Unit 4 Tracker'!J5</f>
        <v>No</v>
      </c>
      <c r="K31" s="17" t="str">
        <f>'Unit 4 Tracker'!K5</f>
        <v>No</v>
      </c>
      <c r="L31" s="17" t="str">
        <f>'Unit 4 Tracker'!L5</f>
        <v>No</v>
      </c>
      <c r="M31" s="17" t="str">
        <f>'Unit 4 Tracker'!M5</f>
        <v>No</v>
      </c>
      <c r="N31" s="17" t="str">
        <f>'Unit 4 Tracker'!N5</f>
        <v>No</v>
      </c>
      <c r="O31" s="17" t="str">
        <f>'Unit 4 Tracker'!O5</f>
        <v>No</v>
      </c>
      <c r="P31" s="17" t="str">
        <f>'Unit 4 Tracker'!P5</f>
        <v>No</v>
      </c>
      <c r="Q31" s="17" t="str">
        <f>'Unit 4 Tracker'!Q5</f>
        <v>No</v>
      </c>
      <c r="R31" s="17" t="str">
        <f>'Unit 4 Tracker'!R5</f>
        <v>No</v>
      </c>
      <c r="S31" s="17" t="str">
        <f>'Unit 4 Tracker'!S5</f>
        <v>No</v>
      </c>
      <c r="T31" s="17" t="str">
        <f>'Unit 4 Tracker'!T5</f>
        <v>Not started</v>
      </c>
      <c r="U31" s="17">
        <f>'Unit 4 Tracker'!U5</f>
        <v>20</v>
      </c>
      <c r="V31" s="17">
        <f>'Unit 4 Tracker'!V5</f>
        <v>30</v>
      </c>
      <c r="W31" s="17">
        <f>'Unit 4 Tracker'!W5</f>
        <v>25</v>
      </c>
      <c r="X31" s="17">
        <f>'Unit 4 Tracker'!X5</f>
        <v>15</v>
      </c>
      <c r="Y31" s="17">
        <f>'Unit 4 Tracker'!Y5</f>
        <v>10</v>
      </c>
      <c r="Z31" s="17">
        <f>'Unit 4 Tracker'!Z5</f>
        <v>100</v>
      </c>
      <c r="AA31" s="23">
        <f>'Unit 4 Tracker'!AA5</f>
        <v>0</v>
      </c>
      <c r="AB31" s="17">
        <f>'Unit 4 Tracker'!AB5</f>
        <v>100</v>
      </c>
      <c r="AC31" s="17" t="str">
        <f>'Unit 4 Tracker'!AC5</f>
        <v>Start with the definition of a social dilemma</v>
      </c>
      <c r="AD31" s="17">
        <f>'Unit 4 Tracker'!AD5</f>
        <v>0</v>
      </c>
      <c r="AE31" s="17">
        <f t="shared" si="0"/>
        <v>4</v>
      </c>
      <c r="AF31" s="18">
        <f t="shared" si="1"/>
        <v>140</v>
      </c>
    </row>
    <row r="32" spans="1:32" ht="68.25" customHeight="1">
      <c r="A32" s="16" t="str">
        <f>'Unit 4 Tracker'!A6</f>
        <v>U4-02</v>
      </c>
      <c r="B32" s="17" t="str">
        <f>'Unit 4 Tracker'!B6</f>
        <v>Unit 4</v>
      </c>
      <c r="C32" s="17" t="str">
        <f>'Unit 4 Tracker'!C6</f>
        <v>Game theory basics: players, strategies, payoffs, information</v>
      </c>
      <c r="D32" s="17" t="str">
        <f>'Unit 4 Tracker'!D6</f>
        <v>Dark Blue</v>
      </c>
      <c r="E32" s="17" t="str">
        <f>'Unit 4 Tracker'!E6</f>
        <v>Merged</v>
      </c>
      <c r="F32" s="17" t="str">
        <f>'Unit 4 Tracker'!F6</f>
        <v>A1</v>
      </c>
      <c r="G32" s="17">
        <f>'Unit 4 Tracker'!G6</f>
        <v>0</v>
      </c>
      <c r="H32" s="17" t="str">
        <f>'Unit 4 Tracker'!H6</f>
        <v>Critical</v>
      </c>
      <c r="I32" s="17">
        <f>'Unit 4 Tracker'!I6</f>
        <v>1</v>
      </c>
      <c r="J32" s="17" t="str">
        <f>'Unit 4 Tracker'!J6</f>
        <v>No</v>
      </c>
      <c r="K32" s="17" t="str">
        <f>'Unit 4 Tracker'!K6</f>
        <v>No</v>
      </c>
      <c r="L32" s="17" t="str">
        <f>'Unit 4 Tracker'!L6</f>
        <v>No</v>
      </c>
      <c r="M32" s="17" t="str">
        <f>'Unit 4 Tracker'!M6</f>
        <v>No</v>
      </c>
      <c r="N32" s="17" t="str">
        <f>'Unit 4 Tracker'!N6</f>
        <v>No</v>
      </c>
      <c r="O32" s="17" t="str">
        <f>'Unit 4 Tracker'!O6</f>
        <v>No</v>
      </c>
      <c r="P32" s="17" t="str">
        <f>'Unit 4 Tracker'!P6</f>
        <v>No</v>
      </c>
      <c r="Q32" s="17" t="str">
        <f>'Unit 4 Tracker'!Q6</f>
        <v>No</v>
      </c>
      <c r="R32" s="17" t="str">
        <f>'Unit 4 Tracker'!R6</f>
        <v>No</v>
      </c>
      <c r="S32" s="17" t="str">
        <f>'Unit 4 Tracker'!S6</f>
        <v>No</v>
      </c>
      <c r="T32" s="17" t="str">
        <f>'Unit 4 Tracker'!T6</f>
        <v>Not started</v>
      </c>
      <c r="U32" s="17">
        <f>'Unit 4 Tracker'!U6</f>
        <v>20</v>
      </c>
      <c r="V32" s="17">
        <f>'Unit 4 Tracker'!V6</f>
        <v>30</v>
      </c>
      <c r="W32" s="17">
        <f>'Unit 4 Tracker'!W6</f>
        <v>25</v>
      </c>
      <c r="X32" s="17">
        <f>'Unit 4 Tracker'!X6</f>
        <v>20</v>
      </c>
      <c r="Y32" s="17">
        <f>'Unit 4 Tracker'!Y6</f>
        <v>15</v>
      </c>
      <c r="Z32" s="17">
        <f>'Unit 4 Tracker'!Z6</f>
        <v>110</v>
      </c>
      <c r="AA32" s="23">
        <f>'Unit 4 Tracker'!AA6</f>
        <v>0</v>
      </c>
      <c r="AB32" s="17">
        <f>'Unit 4 Tracker'!AB6</f>
        <v>110</v>
      </c>
      <c r="AC32" s="17" t="str">
        <f>'Unit 4 Tracker'!AC6</f>
        <v>Read matrices carefully before solving</v>
      </c>
      <c r="AD32" s="17">
        <f>'Unit 4 Tracker'!AD6</f>
        <v>0</v>
      </c>
      <c r="AE32" s="17">
        <f t="shared" si="0"/>
        <v>4</v>
      </c>
      <c r="AF32" s="18">
        <f t="shared" si="1"/>
        <v>140</v>
      </c>
    </row>
    <row r="33" spans="1:32" ht="45.5" customHeight="1">
      <c r="A33" s="16" t="str">
        <f>'Unit 4 Tracker'!A7</f>
        <v>U4-03</v>
      </c>
      <c r="B33" s="17" t="str">
        <f>'Unit 4 Tracker'!B7</f>
        <v>Unit 4</v>
      </c>
      <c r="C33" s="17" t="str">
        <f>'Unit 4 Tracker'!C7</f>
        <v>Best responses, invisible-hand games, and Nash equilibrium</v>
      </c>
      <c r="D33" s="17" t="str">
        <f>'Unit 4 Tracker'!D7</f>
        <v>Light Blue</v>
      </c>
      <c r="E33" s="17" t="str">
        <f>'Unit 4 Tracker'!E7</f>
        <v>Merged</v>
      </c>
      <c r="F33" s="17" t="str">
        <f>'Unit 4 Tracker'!F7</f>
        <v>A1</v>
      </c>
      <c r="G33" s="17">
        <f>'Unit 4 Tracker'!G7</f>
        <v>0</v>
      </c>
      <c r="H33" s="17" t="str">
        <f>'Unit 4 Tracker'!H7</f>
        <v>Critical</v>
      </c>
      <c r="I33" s="17">
        <f>'Unit 4 Tracker'!I7</f>
        <v>1</v>
      </c>
      <c r="J33" s="17" t="str">
        <f>'Unit 4 Tracker'!J7</f>
        <v>No</v>
      </c>
      <c r="K33" s="17" t="str">
        <f>'Unit 4 Tracker'!K7</f>
        <v>No</v>
      </c>
      <c r="L33" s="17" t="str">
        <f>'Unit 4 Tracker'!L7</f>
        <v>No</v>
      </c>
      <c r="M33" s="17" t="str">
        <f>'Unit 4 Tracker'!M7</f>
        <v>No</v>
      </c>
      <c r="N33" s="17" t="str">
        <f>'Unit 4 Tracker'!N7</f>
        <v>No</v>
      </c>
      <c r="O33" s="17" t="str">
        <f>'Unit 4 Tracker'!O7</f>
        <v>No</v>
      </c>
      <c r="P33" s="17" t="str">
        <f>'Unit 4 Tracker'!P7</f>
        <v>No</v>
      </c>
      <c r="Q33" s="17" t="str">
        <f>'Unit 4 Tracker'!Q7</f>
        <v>No</v>
      </c>
      <c r="R33" s="17" t="str">
        <f>'Unit 4 Tracker'!R7</f>
        <v>No</v>
      </c>
      <c r="S33" s="17" t="str">
        <f>'Unit 4 Tracker'!S7</f>
        <v>No</v>
      </c>
      <c r="T33" s="17" t="str">
        <f>'Unit 4 Tracker'!T7</f>
        <v>Not started</v>
      </c>
      <c r="U33" s="17">
        <f>'Unit 4 Tracker'!U7</f>
        <v>25</v>
      </c>
      <c r="V33" s="17">
        <f>'Unit 4 Tracker'!V7</f>
        <v>35</v>
      </c>
      <c r="W33" s="17">
        <f>'Unit 4 Tracker'!W7</f>
        <v>30</v>
      </c>
      <c r="X33" s="17">
        <f>'Unit 4 Tracker'!X7</f>
        <v>20</v>
      </c>
      <c r="Y33" s="17">
        <f>'Unit 4 Tracker'!Y7</f>
        <v>20</v>
      </c>
      <c r="Z33" s="17">
        <f>'Unit 4 Tracker'!Z7</f>
        <v>130</v>
      </c>
      <c r="AA33" s="23">
        <f>'Unit 4 Tracker'!AA7</f>
        <v>0</v>
      </c>
      <c r="AB33" s="17">
        <f>'Unit 4 Tracker'!AB7</f>
        <v>130</v>
      </c>
      <c r="AC33" s="17" t="str">
        <f>'Unit 4 Tracker'!AC7</f>
        <v>Best response first, equilibrium second</v>
      </c>
      <c r="AD33" s="17">
        <f>'Unit 4 Tracker'!AD7</f>
        <v>0</v>
      </c>
      <c r="AE33" s="17">
        <f t="shared" si="0"/>
        <v>4</v>
      </c>
      <c r="AF33" s="18">
        <f t="shared" si="1"/>
        <v>140</v>
      </c>
    </row>
    <row r="34" spans="1:32" ht="45.5" customHeight="1">
      <c r="A34" s="16" t="str">
        <f>'Unit 4 Tracker'!A8</f>
        <v>U4-04</v>
      </c>
      <c r="B34" s="17" t="str">
        <f>'Unit 4 Tracker'!B8</f>
        <v>Unit 4</v>
      </c>
      <c r="C34" s="17" t="str">
        <f>'Unit 4 Tracker'!C8</f>
        <v>Dominant strategies and prisoners' dilemmas</v>
      </c>
      <c r="D34" s="17" t="str">
        <f>'Unit 4 Tracker'!D8</f>
        <v>Dark Green</v>
      </c>
      <c r="E34" s="17" t="str">
        <f>'Unit 4 Tracker'!E8</f>
        <v>Merged</v>
      </c>
      <c r="F34" s="17" t="str">
        <f>'Unit 4 Tracker'!F8</f>
        <v>A1</v>
      </c>
      <c r="G34" s="17">
        <f>'Unit 4 Tracker'!G8</f>
        <v>0</v>
      </c>
      <c r="H34" s="17" t="str">
        <f>'Unit 4 Tracker'!H8</f>
        <v>Critical</v>
      </c>
      <c r="I34" s="17">
        <f>'Unit 4 Tracker'!I8</f>
        <v>1</v>
      </c>
      <c r="J34" s="17" t="str">
        <f>'Unit 4 Tracker'!J8</f>
        <v>No</v>
      </c>
      <c r="K34" s="17" t="str">
        <f>'Unit 4 Tracker'!K8</f>
        <v>No</v>
      </c>
      <c r="L34" s="17" t="str">
        <f>'Unit 4 Tracker'!L8</f>
        <v>No</v>
      </c>
      <c r="M34" s="17" t="str">
        <f>'Unit 4 Tracker'!M8</f>
        <v>No</v>
      </c>
      <c r="N34" s="17" t="str">
        <f>'Unit 4 Tracker'!N8</f>
        <v>No</v>
      </c>
      <c r="O34" s="17" t="str">
        <f>'Unit 4 Tracker'!O8</f>
        <v>No</v>
      </c>
      <c r="P34" s="17" t="str">
        <f>'Unit 4 Tracker'!P8</f>
        <v>No</v>
      </c>
      <c r="Q34" s="17" t="str">
        <f>'Unit 4 Tracker'!Q8</f>
        <v>No</v>
      </c>
      <c r="R34" s="17" t="str">
        <f>'Unit 4 Tracker'!R8</f>
        <v>No</v>
      </c>
      <c r="S34" s="17" t="str">
        <f>'Unit 4 Tracker'!S8</f>
        <v>No</v>
      </c>
      <c r="T34" s="17" t="str">
        <f>'Unit 4 Tracker'!T8</f>
        <v>Not started</v>
      </c>
      <c r="U34" s="17">
        <f>'Unit 4 Tracker'!U8</f>
        <v>25</v>
      </c>
      <c r="V34" s="17">
        <f>'Unit 4 Tracker'!V8</f>
        <v>35</v>
      </c>
      <c r="W34" s="17">
        <f>'Unit 4 Tracker'!W8</f>
        <v>30</v>
      </c>
      <c r="X34" s="17">
        <f>'Unit 4 Tracker'!X8</f>
        <v>20</v>
      </c>
      <c r="Y34" s="17">
        <f>'Unit 4 Tracker'!Y8</f>
        <v>20</v>
      </c>
      <c r="Z34" s="17">
        <f>'Unit 4 Tracker'!Z8</f>
        <v>130</v>
      </c>
      <c r="AA34" s="23">
        <f>'Unit 4 Tracker'!AA8</f>
        <v>0</v>
      </c>
      <c r="AB34" s="17">
        <f>'Unit 4 Tracker'!AB8</f>
        <v>130</v>
      </c>
      <c r="AC34" s="17" t="str">
        <f>'Unit 4 Tracker'!AC8</f>
        <v>Show why stable can still be socially bad</v>
      </c>
      <c r="AD34" s="17">
        <f>'Unit 4 Tracker'!AD8</f>
        <v>0</v>
      </c>
      <c r="AE34" s="17">
        <f t="shared" si="0"/>
        <v>4</v>
      </c>
      <c r="AF34" s="18">
        <f t="shared" si="1"/>
        <v>140</v>
      </c>
    </row>
    <row r="35" spans="1:32" ht="45.5" customHeight="1">
      <c r="A35" s="16" t="str">
        <f>'Unit 4 Tracker'!A9</f>
        <v>U4-05</v>
      </c>
      <c r="B35" s="17" t="str">
        <f>'Unit 4 Tracker'!B9</f>
        <v>Unit 4</v>
      </c>
      <c r="C35" s="17" t="str">
        <f>'Unit 4 Tracker'!C9</f>
        <v>Pareto criterion, Pareto efficiency, and fairness</v>
      </c>
      <c r="D35" s="17" t="str">
        <f>'Unit 4 Tracker'!D9</f>
        <v>Pastel Green</v>
      </c>
      <c r="E35" s="17" t="str">
        <f>'Unit 4 Tracker'!E9</f>
        <v>Merged</v>
      </c>
      <c r="F35" s="17" t="str">
        <f>'Unit 4 Tracker'!F9</f>
        <v>A1</v>
      </c>
      <c r="G35" s="17">
        <f>'Unit 4 Tracker'!G9</f>
        <v>0</v>
      </c>
      <c r="H35" s="17" t="str">
        <f>'Unit 4 Tracker'!H9</f>
        <v>High</v>
      </c>
      <c r="I35" s="17">
        <f>'Unit 4 Tracker'!I9</f>
        <v>1</v>
      </c>
      <c r="J35" s="17" t="str">
        <f>'Unit 4 Tracker'!J9</f>
        <v>No</v>
      </c>
      <c r="K35" s="17" t="str">
        <f>'Unit 4 Tracker'!K9</f>
        <v>No</v>
      </c>
      <c r="L35" s="17" t="str">
        <f>'Unit 4 Tracker'!L9</f>
        <v>No</v>
      </c>
      <c r="M35" s="17" t="str">
        <f>'Unit 4 Tracker'!M9</f>
        <v>No</v>
      </c>
      <c r="N35" s="17" t="str">
        <f>'Unit 4 Tracker'!N9</f>
        <v>No</v>
      </c>
      <c r="O35" s="17" t="str">
        <f>'Unit 4 Tracker'!O9</f>
        <v>No</v>
      </c>
      <c r="P35" s="17" t="str">
        <f>'Unit 4 Tracker'!P9</f>
        <v>No</v>
      </c>
      <c r="Q35" s="17" t="str">
        <f>'Unit 4 Tracker'!Q9</f>
        <v>No</v>
      </c>
      <c r="R35" s="17" t="str">
        <f>'Unit 4 Tracker'!R9</f>
        <v>No</v>
      </c>
      <c r="S35" s="17" t="str">
        <f>'Unit 4 Tracker'!S9</f>
        <v>No</v>
      </c>
      <c r="T35" s="17" t="str">
        <f>'Unit 4 Tracker'!T9</f>
        <v>Not started</v>
      </c>
      <c r="U35" s="17">
        <f>'Unit 4 Tracker'!U9</f>
        <v>20</v>
      </c>
      <c r="V35" s="17">
        <f>'Unit 4 Tracker'!V9</f>
        <v>30</v>
      </c>
      <c r="W35" s="17">
        <f>'Unit 4 Tracker'!W9</f>
        <v>25</v>
      </c>
      <c r="X35" s="17">
        <f>'Unit 4 Tracker'!X9</f>
        <v>20</v>
      </c>
      <c r="Y35" s="17">
        <f>'Unit 4 Tracker'!Y9</f>
        <v>15</v>
      </c>
      <c r="Z35" s="17">
        <f>'Unit 4 Tracker'!Z9</f>
        <v>110</v>
      </c>
      <c r="AA35" s="23">
        <f>'Unit 4 Tracker'!AA9</f>
        <v>0</v>
      </c>
      <c r="AB35" s="17">
        <f>'Unit 4 Tracker'!AB9</f>
        <v>110</v>
      </c>
      <c r="AC35" s="17" t="str">
        <f>'Unit 4 Tracker'!AC9</f>
        <v>Pareto efficient is not the same as fair</v>
      </c>
      <c r="AD35" s="17">
        <f>'Unit 4 Tracker'!AD9</f>
        <v>0</v>
      </c>
      <c r="AE35" s="17">
        <f t="shared" si="0"/>
        <v>3</v>
      </c>
      <c r="AF35" s="18">
        <f t="shared" si="1"/>
        <v>132</v>
      </c>
    </row>
    <row r="36" spans="1:32" ht="68.25" customHeight="1">
      <c r="A36" s="16" t="str">
        <f>'Unit 4 Tracker'!A10</f>
        <v>U4-06</v>
      </c>
      <c r="B36" s="17" t="str">
        <f>'Unit 4 Tracker'!B10</f>
        <v>Unit 4</v>
      </c>
      <c r="C36" s="17" t="str">
        <f>'Unit 4 Tracker'!C10</f>
        <v>Public-good games, free-riding, and Ostrom</v>
      </c>
      <c r="D36" s="17" t="str">
        <f>'Unit 4 Tracker'!D10</f>
        <v>Pastel Yellow</v>
      </c>
      <c r="E36" s="17" t="str">
        <f>'Unit 4 Tracker'!E10</f>
        <v>Merged</v>
      </c>
      <c r="F36" s="17" t="str">
        <f>'Unit 4 Tracker'!F10</f>
        <v>A1</v>
      </c>
      <c r="G36" s="17">
        <f>'Unit 4 Tracker'!G10</f>
        <v>0</v>
      </c>
      <c r="H36" s="17" t="str">
        <f>'Unit 4 Tracker'!H10</f>
        <v>High</v>
      </c>
      <c r="I36" s="17">
        <f>'Unit 4 Tracker'!I10</f>
        <v>1</v>
      </c>
      <c r="J36" s="17" t="str">
        <f>'Unit 4 Tracker'!J10</f>
        <v>No</v>
      </c>
      <c r="K36" s="17" t="str">
        <f>'Unit 4 Tracker'!K10</f>
        <v>No</v>
      </c>
      <c r="L36" s="17" t="str">
        <f>'Unit 4 Tracker'!L10</f>
        <v>No</v>
      </c>
      <c r="M36" s="17" t="str">
        <f>'Unit 4 Tracker'!M10</f>
        <v>No</v>
      </c>
      <c r="N36" s="17" t="str">
        <f>'Unit 4 Tracker'!N10</f>
        <v>No</v>
      </c>
      <c r="O36" s="17" t="str">
        <f>'Unit 4 Tracker'!O10</f>
        <v>No</v>
      </c>
      <c r="P36" s="17" t="str">
        <f>'Unit 4 Tracker'!P10</f>
        <v>No</v>
      </c>
      <c r="Q36" s="17" t="str">
        <f>'Unit 4 Tracker'!Q10</f>
        <v>No</v>
      </c>
      <c r="R36" s="17" t="str">
        <f>'Unit 4 Tracker'!R10</f>
        <v>No</v>
      </c>
      <c r="S36" s="17" t="str">
        <f>'Unit 4 Tracker'!S10</f>
        <v>No</v>
      </c>
      <c r="T36" s="17" t="str">
        <f>'Unit 4 Tracker'!T10</f>
        <v>Not started</v>
      </c>
      <c r="U36" s="17">
        <f>'Unit 4 Tracker'!U10</f>
        <v>25</v>
      </c>
      <c r="V36" s="17">
        <f>'Unit 4 Tracker'!V10</f>
        <v>40</v>
      </c>
      <c r="W36" s="17">
        <f>'Unit 4 Tracker'!W10</f>
        <v>30</v>
      </c>
      <c r="X36" s="17">
        <f>'Unit 4 Tracker'!X10</f>
        <v>20</v>
      </c>
      <c r="Y36" s="17">
        <f>'Unit 4 Tracker'!Y10</f>
        <v>15</v>
      </c>
      <c r="Z36" s="17">
        <f>'Unit 4 Tracker'!Z10</f>
        <v>130</v>
      </c>
      <c r="AA36" s="23">
        <f>'Unit 4 Tracker'!AA10</f>
        <v>0</v>
      </c>
      <c r="AB36" s="17">
        <f>'Unit 4 Tracker'!AB10</f>
        <v>130</v>
      </c>
      <c r="AC36" s="17" t="str">
        <f>'Unit 4 Tracker'!AC10</f>
        <v>Common property is not the same as open access</v>
      </c>
      <c r="AD36" s="17">
        <f>'Unit 4 Tracker'!AD10</f>
        <v>0</v>
      </c>
      <c r="AE36" s="17">
        <f t="shared" si="0"/>
        <v>3</v>
      </c>
      <c r="AF36" s="18">
        <f t="shared" si="1"/>
        <v>132</v>
      </c>
    </row>
    <row r="37" spans="1:32" ht="68.25" customHeight="1">
      <c r="A37" s="16" t="str">
        <f>'Unit 4 Tracker'!A11</f>
        <v>U4-07</v>
      </c>
      <c r="B37" s="17" t="str">
        <f>'Unit 4 Tracker'!B11</f>
        <v>Unit 4</v>
      </c>
      <c r="C37" s="17" t="str">
        <f>'Unit 4 Tracker'!C11</f>
        <v>Social preferences: altruism, reciprocity, inequality aversion</v>
      </c>
      <c r="D37" s="17" t="str">
        <f>'Unit 4 Tracker'!D11</f>
        <v>Orange</v>
      </c>
      <c r="E37" s="17" t="str">
        <f>'Unit 4 Tracker'!E11</f>
        <v>Merged</v>
      </c>
      <c r="F37" s="17" t="str">
        <f>'Unit 4 Tracker'!F11</f>
        <v>A1</v>
      </c>
      <c r="G37" s="17">
        <f>'Unit 4 Tracker'!G11</f>
        <v>0</v>
      </c>
      <c r="H37" s="17" t="str">
        <f>'Unit 4 Tracker'!H11</f>
        <v>High</v>
      </c>
      <c r="I37" s="17">
        <f>'Unit 4 Tracker'!I11</f>
        <v>1</v>
      </c>
      <c r="J37" s="17" t="str">
        <f>'Unit 4 Tracker'!J11</f>
        <v>No</v>
      </c>
      <c r="K37" s="17" t="str">
        <f>'Unit 4 Tracker'!K11</f>
        <v>No</v>
      </c>
      <c r="L37" s="17" t="str">
        <f>'Unit 4 Tracker'!L11</f>
        <v>No</v>
      </c>
      <c r="M37" s="17" t="str">
        <f>'Unit 4 Tracker'!M11</f>
        <v>No</v>
      </c>
      <c r="N37" s="17" t="str">
        <f>'Unit 4 Tracker'!N11</f>
        <v>No</v>
      </c>
      <c r="O37" s="17" t="str">
        <f>'Unit 4 Tracker'!O11</f>
        <v>No</v>
      </c>
      <c r="P37" s="17" t="str">
        <f>'Unit 4 Tracker'!P11</f>
        <v>No</v>
      </c>
      <c r="Q37" s="17" t="str">
        <f>'Unit 4 Tracker'!Q11</f>
        <v>No</v>
      </c>
      <c r="R37" s="17" t="str">
        <f>'Unit 4 Tracker'!R11</f>
        <v>No</v>
      </c>
      <c r="S37" s="17" t="str">
        <f>'Unit 4 Tracker'!S11</f>
        <v>No</v>
      </c>
      <c r="T37" s="17" t="str">
        <f>'Unit 4 Tracker'!T11</f>
        <v>Not started</v>
      </c>
      <c r="U37" s="17">
        <f>'Unit 4 Tracker'!U11</f>
        <v>20</v>
      </c>
      <c r="V37" s="17">
        <f>'Unit 4 Tracker'!V11</f>
        <v>35</v>
      </c>
      <c r="W37" s="17">
        <f>'Unit 4 Tracker'!W11</f>
        <v>30</v>
      </c>
      <c r="X37" s="17">
        <f>'Unit 4 Tracker'!X11</f>
        <v>20</v>
      </c>
      <c r="Y37" s="17">
        <f>'Unit 4 Tracker'!Y11</f>
        <v>15</v>
      </c>
      <c r="Z37" s="17">
        <f>'Unit 4 Tracker'!Z11</f>
        <v>120</v>
      </c>
      <c r="AA37" s="23">
        <f>'Unit 4 Tracker'!AA11</f>
        <v>0</v>
      </c>
      <c r="AB37" s="17">
        <f>'Unit 4 Tracker'!AB11</f>
        <v>120</v>
      </c>
      <c r="AC37" s="17" t="str">
        <f>'Unit 4 Tracker'!AC11</f>
        <v>Explain how utility changes, not just behaviour</v>
      </c>
      <c r="AD37" s="17">
        <f>'Unit 4 Tracker'!AD11</f>
        <v>0</v>
      </c>
      <c r="AE37" s="17">
        <f t="shared" si="0"/>
        <v>3</v>
      </c>
      <c r="AF37" s="18">
        <f t="shared" si="1"/>
        <v>132</v>
      </c>
    </row>
    <row r="38" spans="1:32" ht="68.25" customHeight="1">
      <c r="A38" s="16" t="str">
        <f>'Unit 4 Tracker'!A12</f>
        <v>U4-08</v>
      </c>
      <c r="B38" s="17" t="str">
        <f>'Unit 4 Tracker'!B12</f>
        <v>Unit 4</v>
      </c>
      <c r="C38" s="17" t="str">
        <f>'Unit 4 Tracker'!C12</f>
        <v>Repeated interaction, experiments, punishment, and crowding out</v>
      </c>
      <c r="D38" s="17" t="str">
        <f>'Unit 4 Tracker'!D12</f>
        <v>Red</v>
      </c>
      <c r="E38" s="17" t="str">
        <f>'Unit 4 Tracker'!E12</f>
        <v>Merged</v>
      </c>
      <c r="F38" s="17" t="str">
        <f>'Unit 4 Tracker'!F12</f>
        <v>A1</v>
      </c>
      <c r="G38" s="17">
        <f>'Unit 4 Tracker'!G12</f>
        <v>0</v>
      </c>
      <c r="H38" s="17" t="str">
        <f>'Unit 4 Tracker'!H12</f>
        <v>High</v>
      </c>
      <c r="I38" s="17">
        <f>'Unit 4 Tracker'!I12</f>
        <v>1</v>
      </c>
      <c r="J38" s="17" t="str">
        <f>'Unit 4 Tracker'!J12</f>
        <v>No</v>
      </c>
      <c r="K38" s="17" t="str">
        <f>'Unit 4 Tracker'!K12</f>
        <v>No</v>
      </c>
      <c r="L38" s="17" t="str">
        <f>'Unit 4 Tracker'!L12</f>
        <v>No</v>
      </c>
      <c r="M38" s="17" t="str">
        <f>'Unit 4 Tracker'!M12</f>
        <v>No</v>
      </c>
      <c r="N38" s="17" t="str">
        <f>'Unit 4 Tracker'!N12</f>
        <v>No</v>
      </c>
      <c r="O38" s="17" t="str">
        <f>'Unit 4 Tracker'!O12</f>
        <v>No</v>
      </c>
      <c r="P38" s="17" t="str">
        <f>'Unit 4 Tracker'!P12</f>
        <v>No</v>
      </c>
      <c r="Q38" s="17" t="str">
        <f>'Unit 4 Tracker'!Q12</f>
        <v>No</v>
      </c>
      <c r="R38" s="17" t="str">
        <f>'Unit 4 Tracker'!R12</f>
        <v>No</v>
      </c>
      <c r="S38" s="17" t="str">
        <f>'Unit 4 Tracker'!S12</f>
        <v>No</v>
      </c>
      <c r="T38" s="17" t="str">
        <f>'Unit 4 Tracker'!T12</f>
        <v>Not started</v>
      </c>
      <c r="U38" s="17">
        <f>'Unit 4 Tracker'!U12</f>
        <v>25</v>
      </c>
      <c r="V38" s="17">
        <f>'Unit 4 Tracker'!V12</f>
        <v>40</v>
      </c>
      <c r="W38" s="17">
        <f>'Unit 4 Tracker'!W12</f>
        <v>30</v>
      </c>
      <c r="X38" s="17">
        <f>'Unit 4 Tracker'!X12</f>
        <v>25</v>
      </c>
      <c r="Y38" s="17">
        <f>'Unit 4 Tracker'!Y12</f>
        <v>15</v>
      </c>
      <c r="Z38" s="17">
        <f>'Unit 4 Tracker'!Z12</f>
        <v>135</v>
      </c>
      <c r="AA38" s="23">
        <f>'Unit 4 Tracker'!AA12</f>
        <v>0</v>
      </c>
      <c r="AB38" s="17">
        <f>'Unit 4 Tracker'!AB12</f>
        <v>135</v>
      </c>
      <c r="AC38" s="17" t="str">
        <f>'Unit 4 Tracker'!AC12</f>
        <v>Use day-care fine and punishment experiments</v>
      </c>
      <c r="AD38" s="17">
        <f>'Unit 4 Tracker'!AD12</f>
        <v>0</v>
      </c>
      <c r="AE38" s="17">
        <f t="shared" si="0"/>
        <v>3</v>
      </c>
      <c r="AF38" s="18">
        <f t="shared" si="1"/>
        <v>132</v>
      </c>
    </row>
    <row r="39" spans="1:32" ht="68.25" customHeight="1">
      <c r="A39" s="16" t="str">
        <f>'Unit 4 Tracker'!A13</f>
        <v>U4-09</v>
      </c>
      <c r="B39" s="17" t="str">
        <f>'Unit 4 Tracker'!B13</f>
        <v>Unit 4</v>
      </c>
      <c r="C39" s="17" t="str">
        <f>'Unit 4 Tracker'!C13</f>
        <v>Cooperation, negotiation, and conflicts of interest</v>
      </c>
      <c r="D39" s="17" t="str">
        <f>'Unit 4 Tracker'!D13</f>
        <v>Pink</v>
      </c>
      <c r="E39" s="17" t="str">
        <f>'Unit 4 Tracker'!E13</f>
        <v>Merged</v>
      </c>
      <c r="F39" s="17" t="str">
        <f>'Unit 4 Tracker'!F13</f>
        <v>A1</v>
      </c>
      <c r="G39" s="17">
        <f>'Unit 4 Tracker'!G13</f>
        <v>0</v>
      </c>
      <c r="H39" s="17" t="str">
        <f>'Unit 4 Tracker'!H13</f>
        <v>Medium</v>
      </c>
      <c r="I39" s="17">
        <f>'Unit 4 Tracker'!I13</f>
        <v>1</v>
      </c>
      <c r="J39" s="17" t="str">
        <f>'Unit 4 Tracker'!J13</f>
        <v>No</v>
      </c>
      <c r="K39" s="17" t="str">
        <f>'Unit 4 Tracker'!K13</f>
        <v>No</v>
      </c>
      <c r="L39" s="17" t="str">
        <f>'Unit 4 Tracker'!L13</f>
        <v>No</v>
      </c>
      <c r="M39" s="17" t="str">
        <f>'Unit 4 Tracker'!M13</f>
        <v>No</v>
      </c>
      <c r="N39" s="17" t="str">
        <f>'Unit 4 Tracker'!N13</f>
        <v>No</v>
      </c>
      <c r="O39" s="17" t="str">
        <f>'Unit 4 Tracker'!O13</f>
        <v>No</v>
      </c>
      <c r="P39" s="17" t="str">
        <f>'Unit 4 Tracker'!P13</f>
        <v>No</v>
      </c>
      <c r="Q39" s="17" t="str">
        <f>'Unit 4 Tracker'!Q13</f>
        <v>No</v>
      </c>
      <c r="R39" s="17" t="str">
        <f>'Unit 4 Tracker'!R13</f>
        <v>No</v>
      </c>
      <c r="S39" s="17" t="str">
        <f>'Unit 4 Tracker'!S13</f>
        <v>No</v>
      </c>
      <c r="T39" s="17" t="str">
        <f>'Unit 4 Tracker'!T13</f>
        <v>Not started</v>
      </c>
      <c r="U39" s="17">
        <f>'Unit 4 Tracker'!U13</f>
        <v>20</v>
      </c>
      <c r="V39" s="17">
        <f>'Unit 4 Tracker'!V13</f>
        <v>30</v>
      </c>
      <c r="W39" s="17">
        <f>'Unit 4 Tracker'!W13</f>
        <v>25</v>
      </c>
      <c r="X39" s="17">
        <f>'Unit 4 Tracker'!X13</f>
        <v>20</v>
      </c>
      <c r="Y39" s="17">
        <f>'Unit 4 Tracker'!Y13</f>
        <v>10</v>
      </c>
      <c r="Z39" s="17">
        <f>'Unit 4 Tracker'!Z13</f>
        <v>105</v>
      </c>
      <c r="AA39" s="23">
        <f>'Unit 4 Tracker'!AA13</f>
        <v>0</v>
      </c>
      <c r="AB39" s="17">
        <f>'Unit 4 Tracker'!AB13</f>
        <v>105</v>
      </c>
      <c r="AC39" s="17" t="str">
        <f>'Unit 4 Tracker'!AC13</f>
        <v>Explain mutual gain vs bargaining over division</v>
      </c>
      <c r="AD39" s="17">
        <f>'Unit 4 Tracker'!AD13</f>
        <v>0</v>
      </c>
      <c r="AE39" s="17">
        <f t="shared" si="0"/>
        <v>2</v>
      </c>
      <c r="AF39" s="18">
        <f t="shared" si="1"/>
        <v>124</v>
      </c>
    </row>
    <row r="40" spans="1:32" ht="68.25" customHeight="1">
      <c r="A40" s="16" t="str">
        <f>'Unit 4 Tracker'!A14</f>
        <v>U4-10</v>
      </c>
      <c r="B40" s="17" t="str">
        <f>'Unit 4 Tracker'!B14</f>
        <v>Unit 4</v>
      </c>
      <c r="C40" s="17" t="str">
        <f>'Unit 4 Tracker'!C14</f>
        <v>Ultimatum game, experiments, expected payoffs, and competition</v>
      </c>
      <c r="D40" s="17" t="str">
        <f>'Unit 4 Tracker'!D14</f>
        <v>Purple</v>
      </c>
      <c r="E40" s="17" t="str">
        <f>'Unit 4 Tracker'!E14</f>
        <v>Merged</v>
      </c>
      <c r="F40" s="17" t="str">
        <f>'Unit 4 Tracker'!F14</f>
        <v>A1</v>
      </c>
      <c r="G40" s="17">
        <f>'Unit 4 Tracker'!G14</f>
        <v>0</v>
      </c>
      <c r="H40" s="17" t="str">
        <f>'Unit 4 Tracker'!H14</f>
        <v>Critical</v>
      </c>
      <c r="I40" s="17">
        <f>'Unit 4 Tracker'!I14</f>
        <v>1</v>
      </c>
      <c r="J40" s="17" t="str">
        <f>'Unit 4 Tracker'!J14</f>
        <v>No</v>
      </c>
      <c r="K40" s="17" t="str">
        <f>'Unit 4 Tracker'!K14</f>
        <v>No</v>
      </c>
      <c r="L40" s="17" t="str">
        <f>'Unit 4 Tracker'!L14</f>
        <v>No</v>
      </c>
      <c r="M40" s="17" t="str">
        <f>'Unit 4 Tracker'!M14</f>
        <v>No</v>
      </c>
      <c r="N40" s="17" t="str">
        <f>'Unit 4 Tracker'!N14</f>
        <v>No</v>
      </c>
      <c r="O40" s="17" t="str">
        <f>'Unit 4 Tracker'!O14</f>
        <v>No</v>
      </c>
      <c r="P40" s="17" t="str">
        <f>'Unit 4 Tracker'!P14</f>
        <v>No</v>
      </c>
      <c r="Q40" s="17" t="str">
        <f>'Unit 4 Tracker'!Q14</f>
        <v>No</v>
      </c>
      <c r="R40" s="17" t="str">
        <f>'Unit 4 Tracker'!R14</f>
        <v>No</v>
      </c>
      <c r="S40" s="17" t="str">
        <f>'Unit 4 Tracker'!S14</f>
        <v>No</v>
      </c>
      <c r="T40" s="17" t="str">
        <f>'Unit 4 Tracker'!T14</f>
        <v>Not started</v>
      </c>
      <c r="U40" s="17">
        <f>'Unit 4 Tracker'!U14</f>
        <v>30</v>
      </c>
      <c r="V40" s="17">
        <f>'Unit 4 Tracker'!V14</f>
        <v>45</v>
      </c>
      <c r="W40" s="17">
        <f>'Unit 4 Tracker'!W14</f>
        <v>35</v>
      </c>
      <c r="X40" s="17">
        <f>'Unit 4 Tracker'!X14</f>
        <v>25</v>
      </c>
      <c r="Y40" s="17">
        <f>'Unit 4 Tracker'!Y14</f>
        <v>20</v>
      </c>
      <c r="Z40" s="17">
        <f>'Unit 4 Tracker'!Z14</f>
        <v>155</v>
      </c>
      <c r="AA40" s="23">
        <f>'Unit 4 Tracker'!AA14</f>
        <v>0</v>
      </c>
      <c r="AB40" s="17">
        <f>'Unit 4 Tracker'!AB14</f>
        <v>155</v>
      </c>
      <c r="AC40" s="17" t="str">
        <f>'Unit 4 Tracker'!AC14</f>
        <v>Sequential solve first, then experimental results</v>
      </c>
      <c r="AD40" s="17">
        <f>'Unit 4 Tracker'!AD14</f>
        <v>0</v>
      </c>
      <c r="AE40" s="17">
        <f t="shared" si="0"/>
        <v>4</v>
      </c>
      <c r="AF40" s="18">
        <f t="shared" si="1"/>
        <v>140</v>
      </c>
    </row>
    <row r="41" spans="1:32" ht="68.25" customHeight="1">
      <c r="A41" s="19" t="str">
        <f>'Unit 4 Tracker'!A15</f>
        <v>U4-11</v>
      </c>
      <c r="B41" s="20" t="str">
        <f>'Unit 4 Tracker'!B15</f>
        <v>Unit 4</v>
      </c>
      <c r="C41" s="20" t="str">
        <f>'Unit 4 Tracker'!C15</f>
        <v>Coordination games, hawk–dove, and climate-change modelling</v>
      </c>
      <c r="D41" s="20" t="str">
        <f>'Unit 4 Tracker'!D15</f>
        <v>Dark Blue</v>
      </c>
      <c r="E41" s="20" t="str">
        <f>'Unit 4 Tracker'!E15</f>
        <v>Merged</v>
      </c>
      <c r="F41" s="20" t="str">
        <f>'Unit 4 Tracker'!F15</f>
        <v>A1</v>
      </c>
      <c r="G41" s="20">
        <f>'Unit 4 Tracker'!G15</f>
        <v>0</v>
      </c>
      <c r="H41" s="20" t="str">
        <f>'Unit 4 Tracker'!H15</f>
        <v>Critical</v>
      </c>
      <c r="I41" s="20">
        <f>'Unit 4 Tracker'!I15</f>
        <v>1</v>
      </c>
      <c r="J41" s="20" t="str">
        <f>'Unit 4 Tracker'!J15</f>
        <v>No</v>
      </c>
      <c r="K41" s="20" t="str">
        <f>'Unit 4 Tracker'!K15</f>
        <v>No</v>
      </c>
      <c r="L41" s="20" t="str">
        <f>'Unit 4 Tracker'!L15</f>
        <v>No</v>
      </c>
      <c r="M41" s="20" t="str">
        <f>'Unit 4 Tracker'!M15</f>
        <v>No</v>
      </c>
      <c r="N41" s="20" t="str">
        <f>'Unit 4 Tracker'!N15</f>
        <v>No</v>
      </c>
      <c r="O41" s="20" t="str">
        <f>'Unit 4 Tracker'!O15</f>
        <v>No</v>
      </c>
      <c r="P41" s="20" t="str">
        <f>'Unit 4 Tracker'!P15</f>
        <v>No</v>
      </c>
      <c r="Q41" s="20" t="str">
        <f>'Unit 4 Tracker'!Q15</f>
        <v>No</v>
      </c>
      <c r="R41" s="20" t="str">
        <f>'Unit 4 Tracker'!R15</f>
        <v>No</v>
      </c>
      <c r="S41" s="20" t="str">
        <f>'Unit 4 Tracker'!S15</f>
        <v>No</v>
      </c>
      <c r="T41" s="20" t="str">
        <f>'Unit 4 Tracker'!T15</f>
        <v>Not started</v>
      </c>
      <c r="U41" s="20">
        <f>'Unit 4 Tracker'!U15</f>
        <v>30</v>
      </c>
      <c r="V41" s="20">
        <f>'Unit 4 Tracker'!V15</f>
        <v>45</v>
      </c>
      <c r="W41" s="20">
        <f>'Unit 4 Tracker'!W15</f>
        <v>35</v>
      </c>
      <c r="X41" s="20">
        <f>'Unit 4 Tracker'!X15</f>
        <v>25</v>
      </c>
      <c r="Y41" s="20">
        <f>'Unit 4 Tracker'!Y15</f>
        <v>20</v>
      </c>
      <c r="Z41" s="20">
        <f>'Unit 4 Tracker'!Z15</f>
        <v>155</v>
      </c>
      <c r="AA41" s="24">
        <f>'Unit 4 Tracker'!AA15</f>
        <v>0</v>
      </c>
      <c r="AB41" s="20">
        <f>'Unit 4 Tracker'!AB15</f>
        <v>155</v>
      </c>
      <c r="AC41" s="20" t="str">
        <f>'Unit 4 Tracker'!AC15</f>
        <v>Distinguish PD vs coordination vs hawk–dove</v>
      </c>
      <c r="AD41" s="20">
        <f>'Unit 4 Tracker'!AD15</f>
        <v>0</v>
      </c>
      <c r="AE41" s="20">
        <f t="shared" si="0"/>
        <v>4</v>
      </c>
      <c r="AF41" s="21">
        <f t="shared" si="1"/>
        <v>140</v>
      </c>
    </row>
  </sheetData>
  <mergeCells count="2">
    <mergeCell ref="A1:AF1"/>
    <mergeCell ref="A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1"/>
  <sheetViews>
    <sheetView topLeftCell="E1" zoomScale="143" workbookViewId="0">
      <selection activeCell="J5" sqref="J5"/>
    </sheetView>
  </sheetViews>
  <sheetFormatPr baseColWidth="10" defaultColWidth="8.83203125" defaultRowHeight="14"/>
  <cols>
    <col min="1" max="2" width="10" customWidth="1"/>
    <col min="3" max="3" width="28" customWidth="1"/>
    <col min="4" max="4" width="34" customWidth="1"/>
    <col min="5" max="6" width="10" customWidth="1"/>
    <col min="7" max="9" width="8" customWidth="1"/>
    <col min="10" max="10" width="13" customWidth="1"/>
    <col min="11" max="13" width="10" customWidth="1"/>
    <col min="14" max="14" width="28" customWidth="1"/>
  </cols>
  <sheetData>
    <row r="1" spans="1:16" ht="45.5" customHeight="1">
      <c r="A1" s="58" t="s">
        <v>206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6" ht="205" customHeight="1">
      <c r="A2" s="55" t="s">
        <v>207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16" ht="45.5" customHeight="1">
      <c r="A4" s="25" t="s">
        <v>208</v>
      </c>
      <c r="B4" s="26" t="s">
        <v>58</v>
      </c>
      <c r="C4" s="26" t="s">
        <v>209</v>
      </c>
      <c r="D4" s="26" t="s">
        <v>210</v>
      </c>
      <c r="E4" s="26" t="s">
        <v>61</v>
      </c>
      <c r="F4" s="26" t="s">
        <v>62</v>
      </c>
      <c r="G4" s="26" t="s">
        <v>211</v>
      </c>
      <c r="H4" s="26" t="s">
        <v>212</v>
      </c>
      <c r="I4" s="26" t="s">
        <v>213</v>
      </c>
      <c r="J4" s="26" t="s">
        <v>214</v>
      </c>
      <c r="K4" s="26" t="s">
        <v>215</v>
      </c>
      <c r="L4" s="26" t="s">
        <v>216</v>
      </c>
      <c r="M4" s="26" t="s">
        <v>217</v>
      </c>
      <c r="N4" s="27" t="s">
        <v>83</v>
      </c>
    </row>
    <row r="5" spans="1:16" ht="45.5" customHeight="1">
      <c r="A5" s="13" t="s">
        <v>218</v>
      </c>
      <c r="B5" s="14" t="s">
        <v>85</v>
      </c>
      <c r="C5" s="14" t="s">
        <v>219</v>
      </c>
      <c r="D5" s="14" t="s">
        <v>86</v>
      </c>
      <c r="E5" s="14" t="s">
        <v>15</v>
      </c>
      <c r="F5" s="14"/>
      <c r="G5" s="14" t="s">
        <v>19</v>
      </c>
      <c r="H5" s="14" t="s">
        <v>19</v>
      </c>
      <c r="I5" s="14" t="s">
        <v>19</v>
      </c>
      <c r="J5" s="14" t="s">
        <v>11</v>
      </c>
      <c r="K5" s="14" t="s">
        <v>11</v>
      </c>
      <c r="L5" s="14">
        <v>1</v>
      </c>
      <c r="M5" s="14">
        <v>20</v>
      </c>
      <c r="N5" s="15"/>
    </row>
    <row r="6" spans="1:16" ht="45.5" customHeight="1">
      <c r="A6" s="16" t="s">
        <v>220</v>
      </c>
      <c r="B6" s="17" t="s">
        <v>85</v>
      </c>
      <c r="C6" s="17" t="s">
        <v>221</v>
      </c>
      <c r="D6" s="17" t="s">
        <v>95</v>
      </c>
      <c r="E6" s="17" t="s">
        <v>15</v>
      </c>
      <c r="F6" s="17"/>
      <c r="G6" s="17" t="s">
        <v>11</v>
      </c>
      <c r="H6" s="17" t="s">
        <v>11</v>
      </c>
      <c r="I6" s="17" t="s">
        <v>11</v>
      </c>
      <c r="J6" s="17" t="s">
        <v>11</v>
      </c>
      <c r="K6" s="17" t="s">
        <v>11</v>
      </c>
      <c r="L6" s="17">
        <v>1</v>
      </c>
      <c r="M6" s="17">
        <v>15</v>
      </c>
      <c r="N6" s="18"/>
    </row>
    <row r="7" spans="1:16" ht="45.5" customHeight="1">
      <c r="A7" s="16" t="s">
        <v>222</v>
      </c>
      <c r="B7" s="17" t="s">
        <v>85</v>
      </c>
      <c r="C7" s="17" t="s">
        <v>223</v>
      </c>
      <c r="D7" s="17" t="s">
        <v>95</v>
      </c>
      <c r="E7" s="17" t="s">
        <v>15</v>
      </c>
      <c r="F7" s="17"/>
      <c r="G7" s="17" t="s">
        <v>11</v>
      </c>
      <c r="H7" s="17" t="s">
        <v>11</v>
      </c>
      <c r="I7" s="17" t="s">
        <v>11</v>
      </c>
      <c r="J7" s="17" t="s">
        <v>11</v>
      </c>
      <c r="K7" s="17" t="s">
        <v>11</v>
      </c>
      <c r="L7" s="17">
        <v>1</v>
      </c>
      <c r="M7" s="17">
        <v>15</v>
      </c>
      <c r="N7" s="18"/>
    </row>
    <row r="8" spans="1:16" ht="45.5" customHeight="1">
      <c r="A8" s="16" t="s">
        <v>224</v>
      </c>
      <c r="B8" s="17" t="s">
        <v>85</v>
      </c>
      <c r="C8" s="17" t="s">
        <v>225</v>
      </c>
      <c r="D8" s="17" t="s">
        <v>92</v>
      </c>
      <c r="E8" s="17" t="s">
        <v>15</v>
      </c>
      <c r="F8" s="17"/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>
        <v>1</v>
      </c>
      <c r="M8" s="17">
        <v>20</v>
      </c>
      <c r="N8" s="18"/>
    </row>
    <row r="9" spans="1:16" ht="45.5" customHeight="1">
      <c r="A9" s="16" t="s">
        <v>226</v>
      </c>
      <c r="B9" s="17" t="s">
        <v>85</v>
      </c>
      <c r="C9" s="17" t="s">
        <v>227</v>
      </c>
      <c r="D9" s="17" t="s">
        <v>98</v>
      </c>
      <c r="E9" s="17" t="s">
        <v>15</v>
      </c>
      <c r="F9" s="17"/>
      <c r="G9" s="17" t="s">
        <v>11</v>
      </c>
      <c r="H9" s="17" t="s">
        <v>11</v>
      </c>
      <c r="I9" s="17" t="s">
        <v>11</v>
      </c>
      <c r="J9" s="17" t="s">
        <v>11</v>
      </c>
      <c r="K9" s="17" t="s">
        <v>11</v>
      </c>
      <c r="L9" s="17">
        <v>1</v>
      </c>
      <c r="M9" s="17">
        <v>10</v>
      </c>
      <c r="N9" s="18"/>
    </row>
    <row r="10" spans="1:16" ht="68.25" customHeight="1">
      <c r="A10" s="16" t="s">
        <v>228</v>
      </c>
      <c r="B10" s="17" t="s">
        <v>85</v>
      </c>
      <c r="C10" s="17" t="s">
        <v>229</v>
      </c>
      <c r="D10" s="17" t="s">
        <v>101</v>
      </c>
      <c r="E10" s="17" t="s">
        <v>15</v>
      </c>
      <c r="F10" s="17"/>
      <c r="G10" s="17" t="s">
        <v>11</v>
      </c>
      <c r="H10" s="17" t="s">
        <v>11</v>
      </c>
      <c r="I10" s="17" t="s">
        <v>11</v>
      </c>
      <c r="J10" s="17" t="s">
        <v>11</v>
      </c>
      <c r="K10" s="17" t="s">
        <v>11</v>
      </c>
      <c r="L10" s="17">
        <v>1</v>
      </c>
      <c r="M10" s="17">
        <v>20</v>
      </c>
      <c r="N10" s="18"/>
    </row>
    <row r="11" spans="1:16" ht="45.5" customHeight="1">
      <c r="A11" s="16" t="s">
        <v>230</v>
      </c>
      <c r="B11" s="17" t="s">
        <v>85</v>
      </c>
      <c r="C11" s="17" t="s">
        <v>231</v>
      </c>
      <c r="D11" s="17" t="s">
        <v>104</v>
      </c>
      <c r="E11" s="17" t="s">
        <v>15</v>
      </c>
      <c r="F11" s="17"/>
      <c r="G11" s="17" t="s">
        <v>11</v>
      </c>
      <c r="H11" s="17" t="s">
        <v>11</v>
      </c>
      <c r="I11" s="17" t="s">
        <v>11</v>
      </c>
      <c r="J11" s="17" t="s">
        <v>11</v>
      </c>
      <c r="K11" s="17" t="s">
        <v>11</v>
      </c>
      <c r="L11" s="17">
        <v>1</v>
      </c>
      <c r="M11" s="17">
        <v>25</v>
      </c>
      <c r="N11" s="18"/>
    </row>
    <row r="12" spans="1:16" ht="45.5" customHeight="1">
      <c r="A12" s="16" t="s">
        <v>232</v>
      </c>
      <c r="B12" s="17" t="s">
        <v>85</v>
      </c>
      <c r="C12" s="17" t="s">
        <v>233</v>
      </c>
      <c r="D12" s="17" t="s">
        <v>104</v>
      </c>
      <c r="E12" s="17" t="s">
        <v>15</v>
      </c>
      <c r="F12" s="17"/>
      <c r="G12" s="17" t="s">
        <v>11</v>
      </c>
      <c r="H12" s="17" t="s">
        <v>11</v>
      </c>
      <c r="I12" s="17" t="s">
        <v>11</v>
      </c>
      <c r="J12" s="17" t="s">
        <v>11</v>
      </c>
      <c r="K12" s="17" t="s">
        <v>11</v>
      </c>
      <c r="L12" s="17">
        <v>1</v>
      </c>
      <c r="M12" s="17">
        <v>25</v>
      </c>
      <c r="N12" s="18"/>
    </row>
    <row r="13" spans="1:16" ht="45.5" customHeight="1">
      <c r="A13" s="16" t="s">
        <v>234</v>
      </c>
      <c r="B13" s="17" t="s">
        <v>85</v>
      </c>
      <c r="C13" s="17" t="s">
        <v>235</v>
      </c>
      <c r="D13" s="17" t="s">
        <v>107</v>
      </c>
      <c r="E13" s="17" t="s">
        <v>15</v>
      </c>
      <c r="F13" s="17"/>
      <c r="G13" s="17" t="s">
        <v>11</v>
      </c>
      <c r="H13" s="17" t="s">
        <v>11</v>
      </c>
      <c r="I13" s="17" t="s">
        <v>11</v>
      </c>
      <c r="J13" s="17" t="s">
        <v>11</v>
      </c>
      <c r="K13" s="17" t="s">
        <v>11</v>
      </c>
      <c r="L13" s="17">
        <v>1</v>
      </c>
      <c r="M13" s="17">
        <v>15</v>
      </c>
      <c r="N13" s="18"/>
    </row>
    <row r="14" spans="1:16" ht="45.5" customHeight="1">
      <c r="A14" s="16" t="s">
        <v>236</v>
      </c>
      <c r="B14" s="17" t="s">
        <v>85</v>
      </c>
      <c r="C14" s="17" t="s">
        <v>237</v>
      </c>
      <c r="D14" s="17" t="s">
        <v>110</v>
      </c>
      <c r="E14" s="17" t="s">
        <v>15</v>
      </c>
      <c r="F14" s="17"/>
      <c r="G14" s="17" t="s">
        <v>11</v>
      </c>
      <c r="H14" s="17" t="s">
        <v>11</v>
      </c>
      <c r="I14" s="17" t="s">
        <v>11</v>
      </c>
      <c r="J14" s="17" t="s">
        <v>11</v>
      </c>
      <c r="K14" s="17" t="s">
        <v>11</v>
      </c>
      <c r="L14" s="17">
        <v>1</v>
      </c>
      <c r="M14" s="17">
        <v>15</v>
      </c>
      <c r="N14" s="18"/>
    </row>
    <row r="15" spans="1:16" ht="45.5" customHeight="1">
      <c r="A15" s="16" t="s">
        <v>238</v>
      </c>
      <c r="B15" s="17" t="s">
        <v>114</v>
      </c>
      <c r="C15" s="17" t="s">
        <v>239</v>
      </c>
      <c r="D15" s="17" t="s">
        <v>136</v>
      </c>
      <c r="E15" s="17" t="s">
        <v>15</v>
      </c>
      <c r="F15" s="17"/>
      <c r="G15" s="17" t="s">
        <v>11</v>
      </c>
      <c r="H15" s="17" t="s">
        <v>11</v>
      </c>
      <c r="I15" s="17" t="s">
        <v>11</v>
      </c>
      <c r="J15" s="17" t="s">
        <v>11</v>
      </c>
      <c r="K15" s="17" t="s">
        <v>11</v>
      </c>
      <c r="L15" s="17">
        <v>1</v>
      </c>
      <c r="M15" s="17">
        <v>20</v>
      </c>
      <c r="N15" s="18"/>
    </row>
    <row r="16" spans="1:16" ht="68.25" customHeight="1">
      <c r="A16" s="16" t="s">
        <v>240</v>
      </c>
      <c r="B16" s="17" t="s">
        <v>114</v>
      </c>
      <c r="C16" s="17" t="s">
        <v>241</v>
      </c>
      <c r="D16" s="17" t="s">
        <v>118</v>
      </c>
      <c r="E16" s="17" t="s">
        <v>15</v>
      </c>
      <c r="F16" s="17"/>
      <c r="G16" s="17" t="s">
        <v>11</v>
      </c>
      <c r="H16" s="17" t="s">
        <v>11</v>
      </c>
      <c r="I16" s="17" t="s">
        <v>11</v>
      </c>
      <c r="J16" s="17" t="s">
        <v>11</v>
      </c>
      <c r="K16" s="17" t="s">
        <v>11</v>
      </c>
      <c r="L16" s="17">
        <v>1</v>
      </c>
      <c r="M16" s="17">
        <v>15</v>
      </c>
      <c r="N16" s="18"/>
    </row>
    <row r="17" spans="1:14" ht="68.25" customHeight="1">
      <c r="A17" s="16" t="s">
        <v>242</v>
      </c>
      <c r="B17" s="17" t="s">
        <v>114</v>
      </c>
      <c r="C17" s="17" t="s">
        <v>243</v>
      </c>
      <c r="D17" s="17" t="s">
        <v>118</v>
      </c>
      <c r="E17" s="17" t="s">
        <v>15</v>
      </c>
      <c r="F17" s="17"/>
      <c r="G17" s="17" t="s">
        <v>11</v>
      </c>
      <c r="H17" s="17" t="s">
        <v>11</v>
      </c>
      <c r="I17" s="17" t="s">
        <v>11</v>
      </c>
      <c r="J17" s="17" t="s">
        <v>11</v>
      </c>
      <c r="K17" s="17" t="s">
        <v>11</v>
      </c>
      <c r="L17" s="17">
        <v>1</v>
      </c>
      <c r="M17" s="17">
        <v>15</v>
      </c>
      <c r="N17" s="18"/>
    </row>
    <row r="18" spans="1:14" ht="22.75" customHeight="1">
      <c r="A18" s="16" t="s">
        <v>244</v>
      </c>
      <c r="B18" s="17" t="s">
        <v>114</v>
      </c>
      <c r="C18" s="17" t="s">
        <v>121</v>
      </c>
      <c r="D18" s="17" t="s">
        <v>121</v>
      </c>
      <c r="E18" s="17" t="s">
        <v>15</v>
      </c>
      <c r="F18" s="17"/>
      <c r="G18" s="17" t="s">
        <v>11</v>
      </c>
      <c r="H18" s="17" t="s">
        <v>11</v>
      </c>
      <c r="I18" s="17" t="s">
        <v>11</v>
      </c>
      <c r="J18" s="17" t="s">
        <v>11</v>
      </c>
      <c r="K18" s="17" t="s">
        <v>11</v>
      </c>
      <c r="L18" s="17">
        <v>1</v>
      </c>
      <c r="M18" s="17">
        <v>10</v>
      </c>
      <c r="N18" s="18"/>
    </row>
    <row r="19" spans="1:14" ht="68.25" customHeight="1">
      <c r="A19" s="16" t="s">
        <v>245</v>
      </c>
      <c r="B19" s="17" t="s">
        <v>114</v>
      </c>
      <c r="C19" s="17" t="s">
        <v>246</v>
      </c>
      <c r="D19" s="17" t="s">
        <v>124</v>
      </c>
      <c r="E19" s="17" t="s">
        <v>15</v>
      </c>
      <c r="F19" s="17"/>
      <c r="G19" s="17" t="s">
        <v>11</v>
      </c>
      <c r="H19" s="17" t="s">
        <v>11</v>
      </c>
      <c r="I19" s="17" t="s">
        <v>11</v>
      </c>
      <c r="J19" s="17" t="s">
        <v>11</v>
      </c>
      <c r="K19" s="17" t="s">
        <v>11</v>
      </c>
      <c r="L19" s="17">
        <v>1</v>
      </c>
      <c r="M19" s="17">
        <v>20</v>
      </c>
      <c r="N19" s="18"/>
    </row>
    <row r="20" spans="1:14" ht="68.25" customHeight="1">
      <c r="A20" s="16" t="s">
        <v>247</v>
      </c>
      <c r="B20" s="17" t="s">
        <v>114</v>
      </c>
      <c r="C20" s="17" t="s">
        <v>248</v>
      </c>
      <c r="D20" s="17" t="s">
        <v>130</v>
      </c>
      <c r="E20" s="17" t="s">
        <v>15</v>
      </c>
      <c r="F20" s="17"/>
      <c r="G20" s="17" t="s">
        <v>11</v>
      </c>
      <c r="H20" s="17" t="s">
        <v>11</v>
      </c>
      <c r="I20" s="17" t="s">
        <v>11</v>
      </c>
      <c r="J20" s="17" t="s">
        <v>11</v>
      </c>
      <c r="K20" s="17" t="s">
        <v>11</v>
      </c>
      <c r="L20" s="17">
        <v>1</v>
      </c>
      <c r="M20" s="17">
        <v>25</v>
      </c>
      <c r="N20" s="18"/>
    </row>
    <row r="21" spans="1:14" ht="68.25" customHeight="1">
      <c r="A21" s="16" t="s">
        <v>249</v>
      </c>
      <c r="B21" s="17" t="s">
        <v>143</v>
      </c>
      <c r="C21" s="17" t="s">
        <v>250</v>
      </c>
      <c r="D21" s="17" t="s">
        <v>147</v>
      </c>
      <c r="E21" s="17" t="s">
        <v>15</v>
      </c>
      <c r="F21" s="17"/>
      <c r="G21" s="17" t="s">
        <v>11</v>
      </c>
      <c r="H21" s="17" t="s">
        <v>11</v>
      </c>
      <c r="I21" s="17" t="s">
        <v>11</v>
      </c>
      <c r="J21" s="17" t="s">
        <v>11</v>
      </c>
      <c r="K21" s="17" t="s">
        <v>11</v>
      </c>
      <c r="L21" s="17">
        <v>1</v>
      </c>
      <c r="M21" s="17">
        <v>20</v>
      </c>
      <c r="N21" s="18"/>
    </row>
    <row r="22" spans="1:14" ht="45.5" customHeight="1">
      <c r="A22" s="16" t="s">
        <v>251</v>
      </c>
      <c r="B22" s="17" t="s">
        <v>143</v>
      </c>
      <c r="C22" s="17" t="s">
        <v>252</v>
      </c>
      <c r="D22" s="17" t="s">
        <v>150</v>
      </c>
      <c r="E22" s="17" t="s">
        <v>15</v>
      </c>
      <c r="F22" s="17"/>
      <c r="G22" s="17" t="s">
        <v>11</v>
      </c>
      <c r="H22" s="17" t="s">
        <v>11</v>
      </c>
      <c r="I22" s="17" t="s">
        <v>11</v>
      </c>
      <c r="J22" s="17" t="s">
        <v>11</v>
      </c>
      <c r="K22" s="17" t="s">
        <v>11</v>
      </c>
      <c r="L22" s="17">
        <v>1</v>
      </c>
      <c r="M22" s="17">
        <v>20</v>
      </c>
      <c r="N22" s="18"/>
    </row>
    <row r="23" spans="1:14" ht="45.5" customHeight="1">
      <c r="A23" s="16" t="s">
        <v>253</v>
      </c>
      <c r="B23" s="17" t="s">
        <v>143</v>
      </c>
      <c r="C23" s="17" t="s">
        <v>254</v>
      </c>
      <c r="D23" s="17" t="s">
        <v>153</v>
      </c>
      <c r="E23" s="17" t="s">
        <v>15</v>
      </c>
      <c r="F23" s="17"/>
      <c r="G23" s="17" t="s">
        <v>11</v>
      </c>
      <c r="H23" s="17" t="s">
        <v>11</v>
      </c>
      <c r="I23" s="17" t="s">
        <v>11</v>
      </c>
      <c r="J23" s="17" t="s">
        <v>11</v>
      </c>
      <c r="K23" s="17" t="s">
        <v>11</v>
      </c>
      <c r="L23" s="17">
        <v>1</v>
      </c>
      <c r="M23" s="17">
        <v>20</v>
      </c>
      <c r="N23" s="18"/>
    </row>
    <row r="24" spans="1:14" ht="45.5" customHeight="1">
      <c r="A24" s="16" t="s">
        <v>255</v>
      </c>
      <c r="B24" s="17" t="s">
        <v>143</v>
      </c>
      <c r="C24" s="17" t="s">
        <v>256</v>
      </c>
      <c r="D24" s="17" t="s">
        <v>156</v>
      </c>
      <c r="E24" s="17" t="s">
        <v>15</v>
      </c>
      <c r="F24" s="17"/>
      <c r="G24" s="17" t="s">
        <v>11</v>
      </c>
      <c r="H24" s="17" t="s">
        <v>11</v>
      </c>
      <c r="I24" s="17" t="s">
        <v>11</v>
      </c>
      <c r="J24" s="17" t="s">
        <v>11</v>
      </c>
      <c r="K24" s="17" t="s">
        <v>11</v>
      </c>
      <c r="L24" s="17">
        <v>1</v>
      </c>
      <c r="M24" s="17">
        <v>25</v>
      </c>
      <c r="N24" s="18"/>
    </row>
    <row r="25" spans="1:14" ht="68.25" customHeight="1">
      <c r="A25" s="16" t="s">
        <v>257</v>
      </c>
      <c r="B25" s="17" t="s">
        <v>143</v>
      </c>
      <c r="C25" s="17" t="s">
        <v>258</v>
      </c>
      <c r="D25" s="17" t="s">
        <v>162</v>
      </c>
      <c r="E25" s="17" t="s">
        <v>15</v>
      </c>
      <c r="F25" s="17"/>
      <c r="G25" s="17" t="s">
        <v>11</v>
      </c>
      <c r="H25" s="17" t="s">
        <v>11</v>
      </c>
      <c r="I25" s="17" t="s">
        <v>11</v>
      </c>
      <c r="J25" s="17" t="s">
        <v>11</v>
      </c>
      <c r="K25" s="17" t="s">
        <v>11</v>
      </c>
      <c r="L25" s="17">
        <v>1</v>
      </c>
      <c r="M25" s="17">
        <v>25</v>
      </c>
      <c r="N25" s="18"/>
    </row>
    <row r="26" spans="1:14" ht="45.5" customHeight="1">
      <c r="A26" s="16" t="s">
        <v>259</v>
      </c>
      <c r="B26" s="17" t="s">
        <v>169</v>
      </c>
      <c r="C26" s="17" t="s">
        <v>260</v>
      </c>
      <c r="D26" s="17" t="s">
        <v>176</v>
      </c>
      <c r="E26" s="17" t="s">
        <v>15</v>
      </c>
      <c r="F26" s="17"/>
      <c r="G26" s="17" t="s">
        <v>11</v>
      </c>
      <c r="H26" s="17" t="s">
        <v>11</v>
      </c>
      <c r="I26" s="17" t="s">
        <v>11</v>
      </c>
      <c r="J26" s="17" t="s">
        <v>11</v>
      </c>
      <c r="K26" s="17" t="s">
        <v>11</v>
      </c>
      <c r="L26" s="17">
        <v>1</v>
      </c>
      <c r="M26" s="17">
        <v>20</v>
      </c>
      <c r="N26" s="18"/>
    </row>
    <row r="27" spans="1:14" ht="45.5" customHeight="1">
      <c r="A27" s="16" t="s">
        <v>261</v>
      </c>
      <c r="B27" s="17" t="s">
        <v>169</v>
      </c>
      <c r="C27" s="17" t="s">
        <v>262</v>
      </c>
      <c r="D27" s="17" t="s">
        <v>179</v>
      </c>
      <c r="E27" s="17" t="s">
        <v>15</v>
      </c>
      <c r="F27" s="17"/>
      <c r="G27" s="17" t="s">
        <v>11</v>
      </c>
      <c r="H27" s="17" t="s">
        <v>11</v>
      </c>
      <c r="I27" s="17" t="s">
        <v>11</v>
      </c>
      <c r="J27" s="17" t="s">
        <v>11</v>
      </c>
      <c r="K27" s="17" t="s">
        <v>11</v>
      </c>
      <c r="L27" s="17">
        <v>1</v>
      </c>
      <c r="M27" s="17">
        <v>20</v>
      </c>
      <c r="N27" s="18"/>
    </row>
    <row r="28" spans="1:14" ht="45.5" customHeight="1">
      <c r="A28" s="16" t="s">
        <v>263</v>
      </c>
      <c r="B28" s="17" t="s">
        <v>169</v>
      </c>
      <c r="C28" s="17" t="s">
        <v>264</v>
      </c>
      <c r="D28" s="17" t="s">
        <v>182</v>
      </c>
      <c r="E28" s="17" t="s">
        <v>15</v>
      </c>
      <c r="F28" s="17"/>
      <c r="G28" s="17" t="s">
        <v>11</v>
      </c>
      <c r="H28" s="17" t="s">
        <v>11</v>
      </c>
      <c r="I28" s="17" t="s">
        <v>11</v>
      </c>
      <c r="J28" s="17" t="s">
        <v>11</v>
      </c>
      <c r="K28" s="17" t="s">
        <v>11</v>
      </c>
      <c r="L28" s="17">
        <v>1</v>
      </c>
      <c r="M28" s="17">
        <v>20</v>
      </c>
      <c r="N28" s="18"/>
    </row>
    <row r="29" spans="1:14" ht="68.25" customHeight="1">
      <c r="A29" s="16" t="s">
        <v>265</v>
      </c>
      <c r="B29" s="17" t="s">
        <v>169</v>
      </c>
      <c r="C29" s="17" t="s">
        <v>266</v>
      </c>
      <c r="D29" s="17" t="s">
        <v>191</v>
      </c>
      <c r="E29" s="17" t="s">
        <v>15</v>
      </c>
      <c r="F29" s="17"/>
      <c r="G29" s="17" t="s">
        <v>11</v>
      </c>
      <c r="H29" s="17" t="s">
        <v>11</v>
      </c>
      <c r="I29" s="17" t="s">
        <v>11</v>
      </c>
      <c r="J29" s="17" t="s">
        <v>11</v>
      </c>
      <c r="K29" s="17" t="s">
        <v>11</v>
      </c>
      <c r="L29" s="17">
        <v>1</v>
      </c>
      <c r="M29" s="17">
        <v>20</v>
      </c>
      <c r="N29" s="18"/>
    </row>
    <row r="30" spans="1:14" ht="68.25" customHeight="1">
      <c r="A30" s="16" t="s">
        <v>267</v>
      </c>
      <c r="B30" s="17" t="s">
        <v>169</v>
      </c>
      <c r="C30" s="17" t="s">
        <v>268</v>
      </c>
      <c r="D30" s="17" t="s">
        <v>197</v>
      </c>
      <c r="E30" s="17" t="s">
        <v>15</v>
      </c>
      <c r="F30" s="17"/>
      <c r="G30" s="17" t="s">
        <v>11</v>
      </c>
      <c r="H30" s="17" t="s">
        <v>11</v>
      </c>
      <c r="I30" s="17" t="s">
        <v>11</v>
      </c>
      <c r="J30" s="17" t="s">
        <v>11</v>
      </c>
      <c r="K30" s="17" t="s">
        <v>11</v>
      </c>
      <c r="L30" s="17">
        <v>1</v>
      </c>
      <c r="M30" s="17">
        <v>20</v>
      </c>
      <c r="N30" s="18"/>
    </row>
    <row r="31" spans="1:14" ht="68.25" customHeight="1">
      <c r="A31" s="19" t="s">
        <v>269</v>
      </c>
      <c r="B31" s="20" t="s">
        <v>169</v>
      </c>
      <c r="C31" s="20" t="s">
        <v>270</v>
      </c>
      <c r="D31" s="20" t="s">
        <v>200</v>
      </c>
      <c r="E31" s="20" t="s">
        <v>15</v>
      </c>
      <c r="F31" s="20"/>
      <c r="G31" s="20" t="s">
        <v>11</v>
      </c>
      <c r="H31" s="20" t="s">
        <v>11</v>
      </c>
      <c r="I31" s="20" t="s">
        <v>11</v>
      </c>
      <c r="J31" s="20" t="s">
        <v>11</v>
      </c>
      <c r="K31" s="20" t="s">
        <v>11</v>
      </c>
      <c r="L31" s="20">
        <v>1</v>
      </c>
      <c r="M31" s="20">
        <v>20</v>
      </c>
      <c r="N31" s="21"/>
    </row>
  </sheetData>
  <mergeCells count="2">
    <mergeCell ref="A1:N1"/>
    <mergeCell ref="A2:P2"/>
  </mergeCells>
  <conditionalFormatting sqref="K5:K31">
    <cfRule type="expression" dxfId="0" priority="1">
      <formula>K5="Yes"</formula>
    </cfRule>
  </conditionalFormatting>
  <dataValidations count="3">
    <dataValidation type="list" sqref="E5:F31" xr:uid="{00000000-0002-0000-0600-000000000000}">
      <formula1>"A1,A2,Both,Optional,"</formula1>
    </dataValidation>
    <dataValidation type="list" sqref="G5:K31" xr:uid="{00000000-0002-0000-0600-000002000000}">
      <formula1>"Yes,No"</formula1>
    </dataValidation>
    <dataValidation type="list" sqref="L5:L31" xr:uid="{00000000-0002-0000-0600-000007000000}">
      <formula1>"1,2,3,4,5"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2"/>
  <sheetViews>
    <sheetView tabSelected="1" topLeftCell="A23" workbookViewId="0">
      <selection sqref="A1:M1"/>
    </sheetView>
  </sheetViews>
  <sheetFormatPr baseColWidth="10" defaultColWidth="8.83203125" defaultRowHeight="14"/>
  <cols>
    <col min="1" max="1" width="12" customWidth="1"/>
    <col min="2" max="2" width="10" customWidth="1"/>
    <col min="3" max="3" width="32" customWidth="1"/>
    <col min="4" max="4" width="30" customWidth="1"/>
    <col min="5" max="8" width="10" customWidth="1"/>
    <col min="9" max="9" width="8" customWidth="1"/>
    <col min="10" max="10" width="15" customWidth="1"/>
    <col min="11" max="11" width="10" customWidth="1"/>
    <col min="12" max="12" width="18" customWidth="1"/>
    <col min="13" max="13" width="28" customWidth="1"/>
  </cols>
  <sheetData>
    <row r="1" spans="1:16" ht="45.5" customHeight="1">
      <c r="A1" s="59" t="s">
        <v>271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6" ht="227.75" customHeight="1">
      <c r="A2" s="55" t="s">
        <v>272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16" ht="45.5" customHeight="1">
      <c r="A4" s="28" t="s">
        <v>273</v>
      </c>
      <c r="B4" s="29" t="s">
        <v>58</v>
      </c>
      <c r="C4" s="29" t="s">
        <v>274</v>
      </c>
      <c r="D4" s="29" t="s">
        <v>210</v>
      </c>
      <c r="E4" s="29" t="s">
        <v>61</v>
      </c>
      <c r="F4" s="29" t="s">
        <v>62</v>
      </c>
      <c r="G4" s="29" t="s">
        <v>275</v>
      </c>
      <c r="H4" s="29" t="s">
        <v>216</v>
      </c>
      <c r="I4" s="29" t="s">
        <v>276</v>
      </c>
      <c r="J4" s="29" t="s">
        <v>277</v>
      </c>
      <c r="K4" s="29" t="s">
        <v>217</v>
      </c>
      <c r="L4" s="29" t="s">
        <v>2</v>
      </c>
      <c r="M4" s="30" t="s">
        <v>83</v>
      </c>
    </row>
    <row r="5" spans="1:16" ht="45.5" customHeight="1">
      <c r="A5" s="13" t="s">
        <v>278</v>
      </c>
      <c r="B5" s="14" t="s">
        <v>85</v>
      </c>
      <c r="C5" s="14" t="s">
        <v>279</v>
      </c>
      <c r="D5" s="14" t="s">
        <v>86</v>
      </c>
      <c r="E5" s="14" t="s">
        <v>15</v>
      </c>
      <c r="F5" s="14"/>
      <c r="G5" s="14" t="s">
        <v>11</v>
      </c>
      <c r="H5" s="14">
        <v>1</v>
      </c>
      <c r="I5" s="14" t="s">
        <v>19</v>
      </c>
      <c r="J5" s="14" t="s">
        <v>11</v>
      </c>
      <c r="K5" s="14">
        <v>40</v>
      </c>
      <c r="L5" s="14" t="s">
        <v>10</v>
      </c>
      <c r="M5" s="15"/>
    </row>
    <row r="6" spans="1:16" ht="68.25" customHeight="1">
      <c r="A6" s="16" t="s">
        <v>280</v>
      </c>
      <c r="B6" s="17" t="s">
        <v>85</v>
      </c>
      <c r="C6" s="17" t="s">
        <v>281</v>
      </c>
      <c r="D6" s="17" t="s">
        <v>104</v>
      </c>
      <c r="E6" s="17" t="s">
        <v>15</v>
      </c>
      <c r="F6" s="17"/>
      <c r="G6" s="17" t="s">
        <v>11</v>
      </c>
      <c r="H6" s="17">
        <v>1</v>
      </c>
      <c r="I6" s="17" t="s">
        <v>19</v>
      </c>
      <c r="J6" s="17" t="s">
        <v>11</v>
      </c>
      <c r="K6" s="17">
        <v>45</v>
      </c>
      <c r="L6" s="17" t="s">
        <v>10</v>
      </c>
      <c r="M6" s="18"/>
    </row>
    <row r="7" spans="1:16" ht="68.25" customHeight="1">
      <c r="A7" s="16" t="s">
        <v>282</v>
      </c>
      <c r="B7" s="17" t="s">
        <v>114</v>
      </c>
      <c r="C7" s="17" t="s">
        <v>283</v>
      </c>
      <c r="D7" s="17" t="s">
        <v>118</v>
      </c>
      <c r="E7" s="17" t="s">
        <v>15</v>
      </c>
      <c r="F7" s="17"/>
      <c r="G7" s="17" t="s">
        <v>11</v>
      </c>
      <c r="H7" s="17">
        <v>1</v>
      </c>
      <c r="I7" s="17" t="s">
        <v>19</v>
      </c>
      <c r="J7" s="17" t="s">
        <v>11</v>
      </c>
      <c r="K7" s="17">
        <v>45</v>
      </c>
      <c r="L7" s="17" t="s">
        <v>10</v>
      </c>
      <c r="M7" s="18"/>
    </row>
    <row r="8" spans="1:16" ht="68.25" customHeight="1">
      <c r="A8" s="16" t="s">
        <v>284</v>
      </c>
      <c r="B8" s="17" t="s">
        <v>114</v>
      </c>
      <c r="C8" s="17" t="s">
        <v>285</v>
      </c>
      <c r="D8" s="17" t="s">
        <v>130</v>
      </c>
      <c r="E8" s="17" t="s">
        <v>15</v>
      </c>
      <c r="F8" s="17"/>
      <c r="G8" s="17" t="s">
        <v>11</v>
      </c>
      <c r="H8" s="17">
        <v>1</v>
      </c>
      <c r="I8" s="17" t="s">
        <v>19</v>
      </c>
      <c r="J8" s="17" t="s">
        <v>11</v>
      </c>
      <c r="K8" s="17">
        <v>50</v>
      </c>
      <c r="L8" s="17" t="s">
        <v>10</v>
      </c>
      <c r="M8" s="18"/>
    </row>
    <row r="9" spans="1:16" ht="68.25" customHeight="1">
      <c r="A9" s="16" t="s">
        <v>286</v>
      </c>
      <c r="B9" s="17" t="s">
        <v>143</v>
      </c>
      <c r="C9" s="17" t="s">
        <v>287</v>
      </c>
      <c r="D9" s="17" t="s">
        <v>147</v>
      </c>
      <c r="E9" s="17" t="s">
        <v>15</v>
      </c>
      <c r="F9" s="17"/>
      <c r="G9" s="17" t="s">
        <v>11</v>
      </c>
      <c r="H9" s="17">
        <v>1</v>
      </c>
      <c r="I9" s="17" t="s">
        <v>19</v>
      </c>
      <c r="J9" s="17" t="s">
        <v>11</v>
      </c>
      <c r="K9" s="17">
        <v>45</v>
      </c>
      <c r="L9" s="17" t="s">
        <v>10</v>
      </c>
      <c r="M9" s="18"/>
    </row>
    <row r="10" spans="1:16" ht="68.25" customHeight="1">
      <c r="A10" s="16" t="s">
        <v>288</v>
      </c>
      <c r="B10" s="17" t="s">
        <v>143</v>
      </c>
      <c r="C10" s="17" t="s">
        <v>289</v>
      </c>
      <c r="D10" s="17" t="s">
        <v>162</v>
      </c>
      <c r="E10" s="17" t="s">
        <v>15</v>
      </c>
      <c r="F10" s="17"/>
      <c r="G10" s="17" t="s">
        <v>11</v>
      </c>
      <c r="H10" s="17">
        <v>1</v>
      </c>
      <c r="I10" s="17" t="s">
        <v>19</v>
      </c>
      <c r="J10" s="17" t="s">
        <v>11</v>
      </c>
      <c r="K10" s="17">
        <v>50</v>
      </c>
      <c r="L10" s="17" t="s">
        <v>10</v>
      </c>
      <c r="M10" s="18"/>
    </row>
    <row r="11" spans="1:16" ht="68.25" customHeight="1">
      <c r="A11" s="16" t="s">
        <v>290</v>
      </c>
      <c r="B11" s="17" t="s">
        <v>169</v>
      </c>
      <c r="C11" s="17" t="s">
        <v>291</v>
      </c>
      <c r="D11" s="17" t="s">
        <v>176</v>
      </c>
      <c r="E11" s="17" t="s">
        <v>15</v>
      </c>
      <c r="F11" s="17"/>
      <c r="G11" s="17" t="s">
        <v>11</v>
      </c>
      <c r="H11" s="17">
        <v>1</v>
      </c>
      <c r="I11" s="17" t="s">
        <v>19</v>
      </c>
      <c r="J11" s="17" t="s">
        <v>11</v>
      </c>
      <c r="K11" s="17">
        <v>45</v>
      </c>
      <c r="L11" s="17" t="s">
        <v>10</v>
      </c>
      <c r="M11" s="18"/>
    </row>
    <row r="12" spans="1:16" ht="68.25" customHeight="1">
      <c r="A12" s="19" t="s">
        <v>292</v>
      </c>
      <c r="B12" s="20" t="s">
        <v>169</v>
      </c>
      <c r="C12" s="20" t="s">
        <v>293</v>
      </c>
      <c r="D12" s="20" t="s">
        <v>200</v>
      </c>
      <c r="E12" s="20" t="s">
        <v>15</v>
      </c>
      <c r="F12" s="20"/>
      <c r="G12" s="20" t="s">
        <v>11</v>
      </c>
      <c r="H12" s="20">
        <v>1</v>
      </c>
      <c r="I12" s="20" t="s">
        <v>19</v>
      </c>
      <c r="J12" s="20" t="s">
        <v>11</v>
      </c>
      <c r="K12" s="20">
        <v>60</v>
      </c>
      <c r="L12" s="20" t="s">
        <v>10</v>
      </c>
      <c r="M12" s="21"/>
    </row>
  </sheetData>
  <mergeCells count="2">
    <mergeCell ref="A1:M1"/>
    <mergeCell ref="A2:P2"/>
  </mergeCells>
  <dataValidations count="4">
    <dataValidation type="list" sqref="E5:F12" xr:uid="{00000000-0002-0000-0700-000000000000}">
      <formula1>"A1,A2,Both,Optional,"</formula1>
    </dataValidation>
    <dataValidation type="list" sqref="G5:G12 I5:J12" xr:uid="{00000000-0002-0000-0700-000002000000}">
      <formula1>"Yes,No"</formula1>
    </dataValidation>
    <dataValidation type="list" sqref="H5:H12" xr:uid="{00000000-0002-0000-0700-000005000000}">
      <formula1>"1,2,3,4,5"</formula1>
    </dataValidation>
    <dataValidation type="list" sqref="L5:L12" xr:uid="{00000000-0002-0000-0700-000006000000}">
      <formula1>"Not started,Planned,Reading,Paper notes done,Self-explain x1,Self-explain x2,Teach-back done,Tutorial done,Graphs mastered,Exam ready,Needs revisit"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24"/>
  <sheetViews>
    <sheetView workbookViewId="0"/>
  </sheetViews>
  <sheetFormatPr baseColWidth="10" defaultColWidth="8.83203125" defaultRowHeight="14"/>
  <cols>
    <col min="1" max="2" width="12" customWidth="1"/>
    <col min="3" max="3" width="10" customWidth="1"/>
    <col min="4" max="4" width="28" customWidth="1"/>
    <col min="5" max="5" width="18" customWidth="1"/>
    <col min="6" max="6" width="16" customWidth="1"/>
    <col min="7" max="8" width="12" customWidth="1"/>
    <col min="9" max="9" width="10" customWidth="1"/>
    <col min="10" max="10" width="14" customWidth="1"/>
    <col min="11" max="11" width="11" customWidth="1"/>
    <col min="12" max="12" width="32" customWidth="1"/>
  </cols>
  <sheetData>
    <row r="1" spans="1:16" ht="45.5" customHeight="1">
      <c r="A1" s="56" t="s">
        <v>294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6" ht="250.5" customHeight="1">
      <c r="A2" s="55" t="s">
        <v>295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16" ht="45.5" customHeight="1">
      <c r="A4" s="31" t="s">
        <v>296</v>
      </c>
      <c r="B4" s="32" t="s">
        <v>297</v>
      </c>
      <c r="C4" s="32" t="s">
        <v>58</v>
      </c>
      <c r="D4" s="32" t="s">
        <v>298</v>
      </c>
      <c r="E4" s="32" t="s">
        <v>8</v>
      </c>
      <c r="F4" s="32" t="s">
        <v>299</v>
      </c>
      <c r="G4" s="32" t="s">
        <v>300</v>
      </c>
      <c r="H4" s="32" t="s">
        <v>301</v>
      </c>
      <c r="I4" s="32" t="s">
        <v>9</v>
      </c>
      <c r="J4" s="32" t="s">
        <v>302</v>
      </c>
      <c r="K4" s="32" t="s">
        <v>303</v>
      </c>
      <c r="L4" s="33" t="s">
        <v>304</v>
      </c>
    </row>
    <row r="5" spans="1:16" ht="22.75" customHeight="1">
      <c r="A5" s="34"/>
      <c r="B5" s="37" t="str">
        <f t="shared" ref="B5:B36" si="0">IF(A5="","",A5-WEEKDAY(A5,2)+1)</f>
        <v/>
      </c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1:16" ht="22.75" customHeight="1">
      <c r="A6" s="35"/>
      <c r="B6" s="38" t="str">
        <f t="shared" si="0"/>
        <v/>
      </c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1:16" ht="22.75" customHeight="1">
      <c r="A7" s="35"/>
      <c r="B7" s="38" t="str">
        <f t="shared" si="0"/>
        <v/>
      </c>
      <c r="C7" s="17"/>
      <c r="D7" s="17"/>
      <c r="E7" s="17"/>
      <c r="F7" s="17"/>
      <c r="G7" s="17"/>
      <c r="H7" s="17"/>
      <c r="I7" s="17"/>
      <c r="J7" s="17"/>
      <c r="K7" s="17"/>
      <c r="L7" s="18"/>
    </row>
    <row r="8" spans="1:16" ht="22.75" customHeight="1">
      <c r="A8" s="35"/>
      <c r="B8" s="38" t="str">
        <f t="shared" si="0"/>
        <v/>
      </c>
      <c r="C8" s="17"/>
      <c r="D8" s="17"/>
      <c r="E8" s="17"/>
      <c r="F8" s="17"/>
      <c r="G8" s="17"/>
      <c r="H8" s="17"/>
      <c r="I8" s="17"/>
      <c r="J8" s="17"/>
      <c r="K8" s="17"/>
      <c r="L8" s="18"/>
    </row>
    <row r="9" spans="1:16" ht="22.75" customHeight="1">
      <c r="A9" s="35"/>
      <c r="B9" s="38" t="str">
        <f t="shared" si="0"/>
        <v/>
      </c>
      <c r="C9" s="17"/>
      <c r="D9" s="17"/>
      <c r="E9" s="17"/>
      <c r="F9" s="17"/>
      <c r="G9" s="17"/>
      <c r="H9" s="17"/>
      <c r="I9" s="17"/>
      <c r="J9" s="17"/>
      <c r="K9" s="17"/>
      <c r="L9" s="18"/>
    </row>
    <row r="10" spans="1:16" ht="22.75" customHeight="1">
      <c r="A10" s="35"/>
      <c r="B10" s="38" t="str">
        <f t="shared" si="0"/>
        <v/>
      </c>
      <c r="C10" s="17"/>
      <c r="D10" s="17"/>
      <c r="E10" s="17"/>
      <c r="F10" s="17"/>
      <c r="G10" s="17"/>
      <c r="H10" s="17"/>
      <c r="I10" s="17"/>
      <c r="J10" s="17"/>
      <c r="K10" s="17"/>
      <c r="L10" s="18"/>
    </row>
    <row r="11" spans="1:16" ht="22.75" customHeight="1">
      <c r="A11" s="35"/>
      <c r="B11" s="38" t="str">
        <f t="shared" si="0"/>
        <v/>
      </c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1:16" ht="22.75" customHeight="1">
      <c r="A12" s="35"/>
      <c r="B12" s="38" t="str">
        <f t="shared" si="0"/>
        <v/>
      </c>
      <c r="C12" s="17"/>
      <c r="D12" s="17"/>
      <c r="E12" s="17"/>
      <c r="F12" s="17"/>
      <c r="G12" s="17"/>
      <c r="H12" s="17"/>
      <c r="I12" s="17"/>
      <c r="J12" s="17"/>
      <c r="K12" s="17"/>
      <c r="L12" s="18"/>
    </row>
    <row r="13" spans="1:16" ht="22.75" customHeight="1">
      <c r="A13" s="35"/>
      <c r="B13" s="38" t="str">
        <f t="shared" si="0"/>
        <v/>
      </c>
      <c r="C13" s="17"/>
      <c r="D13" s="17"/>
      <c r="E13" s="17"/>
      <c r="F13" s="17"/>
      <c r="G13" s="17"/>
      <c r="H13" s="17"/>
      <c r="I13" s="17"/>
      <c r="J13" s="17"/>
      <c r="K13" s="17"/>
      <c r="L13" s="18"/>
    </row>
    <row r="14" spans="1:16" ht="22.75" customHeight="1">
      <c r="A14" s="35"/>
      <c r="B14" s="38" t="str">
        <f t="shared" si="0"/>
        <v/>
      </c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6" ht="22.75" customHeight="1">
      <c r="A15" s="35"/>
      <c r="B15" s="38" t="str">
        <f t="shared" si="0"/>
        <v/>
      </c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6" ht="22.75" customHeight="1">
      <c r="A16" s="35"/>
      <c r="B16" s="38" t="str">
        <f t="shared" si="0"/>
        <v/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ht="22.75" customHeight="1">
      <c r="A17" s="35"/>
      <c r="B17" s="38" t="str">
        <f t="shared" si="0"/>
        <v/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ht="22.75" customHeight="1">
      <c r="A18" s="35"/>
      <c r="B18" s="38" t="str">
        <f t="shared" si="0"/>
        <v/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ht="22.75" customHeight="1">
      <c r="A19" s="35"/>
      <c r="B19" s="38" t="str">
        <f t="shared" si="0"/>
        <v/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ht="22.75" customHeight="1">
      <c r="A20" s="35"/>
      <c r="B20" s="38" t="str">
        <f t="shared" si="0"/>
        <v/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ht="22.75" customHeight="1">
      <c r="A21" s="35"/>
      <c r="B21" s="38" t="str">
        <f t="shared" si="0"/>
        <v/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ht="22.75" customHeight="1">
      <c r="A22" s="35"/>
      <c r="B22" s="38" t="str">
        <f t="shared" si="0"/>
        <v/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ht="22.75" customHeight="1">
      <c r="A23" s="35"/>
      <c r="B23" s="38" t="str">
        <f t="shared" si="0"/>
        <v/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ht="22.75" customHeight="1">
      <c r="A24" s="35"/>
      <c r="B24" s="38" t="str">
        <f t="shared" si="0"/>
        <v/>
      </c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ht="22.75" customHeight="1">
      <c r="A25" s="35"/>
      <c r="B25" s="38" t="str">
        <f t="shared" si="0"/>
        <v/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ht="22.75" customHeight="1">
      <c r="A26" s="35"/>
      <c r="B26" s="38" t="str">
        <f t="shared" si="0"/>
        <v/>
      </c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ht="22.75" customHeight="1">
      <c r="A27" s="35"/>
      <c r="B27" s="38" t="str">
        <f t="shared" si="0"/>
        <v/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ht="22.75" customHeight="1">
      <c r="A28" s="35"/>
      <c r="B28" s="38" t="str">
        <f t="shared" si="0"/>
        <v/>
      </c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ht="22.75" customHeight="1">
      <c r="A29" s="35"/>
      <c r="B29" s="38" t="str">
        <f t="shared" si="0"/>
        <v/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ht="22.75" customHeight="1">
      <c r="A30" s="35"/>
      <c r="B30" s="38" t="str">
        <f t="shared" si="0"/>
        <v/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ht="22.75" customHeight="1">
      <c r="A31" s="35"/>
      <c r="B31" s="38" t="str">
        <f t="shared" si="0"/>
        <v/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ht="22.75" customHeight="1">
      <c r="A32" s="35"/>
      <c r="B32" s="38" t="str">
        <f t="shared" si="0"/>
        <v/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ht="22.75" customHeight="1">
      <c r="A33" s="35"/>
      <c r="B33" s="38" t="str">
        <f t="shared" si="0"/>
        <v/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ht="22.75" customHeight="1">
      <c r="A34" s="35"/>
      <c r="B34" s="38" t="str">
        <f t="shared" si="0"/>
        <v/>
      </c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ht="22.75" customHeight="1">
      <c r="A35" s="35"/>
      <c r="B35" s="38" t="str">
        <f t="shared" si="0"/>
        <v/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ht="22.75" customHeight="1">
      <c r="A36" s="35"/>
      <c r="B36" s="38" t="str">
        <f t="shared" si="0"/>
        <v/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ht="22.75" customHeight="1">
      <c r="A37" s="35"/>
      <c r="B37" s="38" t="str">
        <f t="shared" ref="B37:B68" si="1">IF(A37="","",A37-WEEKDAY(A37,2)+1)</f>
        <v/>
      </c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ht="22.75" customHeight="1">
      <c r="A38" s="35"/>
      <c r="B38" s="38" t="str">
        <f t="shared" si="1"/>
        <v/>
      </c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ht="22.75" customHeight="1">
      <c r="A39" s="35"/>
      <c r="B39" s="38" t="str">
        <f t="shared" si="1"/>
        <v/>
      </c>
      <c r="C39" s="17"/>
      <c r="D39" s="17"/>
      <c r="E39" s="17"/>
      <c r="F39" s="17"/>
      <c r="G39" s="17"/>
      <c r="H39" s="17"/>
      <c r="I39" s="17"/>
      <c r="J39" s="17"/>
      <c r="K39" s="17"/>
      <c r="L39" s="18"/>
    </row>
    <row r="40" spans="1:12" ht="22.75" customHeight="1">
      <c r="A40" s="35"/>
      <c r="B40" s="38" t="str">
        <f t="shared" si="1"/>
        <v/>
      </c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ht="22.75" customHeight="1">
      <c r="A41" s="35"/>
      <c r="B41" s="38" t="str">
        <f t="shared" si="1"/>
        <v/>
      </c>
      <c r="C41" s="17"/>
      <c r="D41" s="17"/>
      <c r="E41" s="17"/>
      <c r="F41" s="17"/>
      <c r="G41" s="17"/>
      <c r="H41" s="17"/>
      <c r="I41" s="17"/>
      <c r="J41" s="17"/>
      <c r="K41" s="17"/>
      <c r="L41" s="18"/>
    </row>
    <row r="42" spans="1:12" ht="22.75" customHeight="1">
      <c r="A42" s="35"/>
      <c r="B42" s="38" t="str">
        <f t="shared" si="1"/>
        <v/>
      </c>
      <c r="C42" s="17"/>
      <c r="D42" s="17"/>
      <c r="E42" s="17"/>
      <c r="F42" s="17"/>
      <c r="G42" s="17"/>
      <c r="H42" s="17"/>
      <c r="I42" s="17"/>
      <c r="J42" s="17"/>
      <c r="K42" s="17"/>
      <c r="L42" s="18"/>
    </row>
    <row r="43" spans="1:12" ht="22.75" customHeight="1">
      <c r="A43" s="35"/>
      <c r="B43" s="38" t="str">
        <f t="shared" si="1"/>
        <v/>
      </c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ht="22.75" customHeight="1">
      <c r="A44" s="35"/>
      <c r="B44" s="38" t="str">
        <f t="shared" si="1"/>
        <v/>
      </c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1:12" ht="22.75" customHeight="1">
      <c r="A45" s="35"/>
      <c r="B45" s="38" t="str">
        <f t="shared" si="1"/>
        <v/>
      </c>
      <c r="C45" s="17"/>
      <c r="D45" s="17"/>
      <c r="E45" s="17"/>
      <c r="F45" s="17"/>
      <c r="G45" s="17"/>
      <c r="H45" s="17"/>
      <c r="I45" s="17"/>
      <c r="J45" s="17"/>
      <c r="K45" s="17"/>
      <c r="L45" s="18"/>
    </row>
    <row r="46" spans="1:12" ht="22.75" customHeight="1">
      <c r="A46" s="35"/>
      <c r="B46" s="38" t="str">
        <f t="shared" si="1"/>
        <v/>
      </c>
      <c r="C46" s="17"/>
      <c r="D46" s="17"/>
      <c r="E46" s="17"/>
      <c r="F46" s="17"/>
      <c r="G46" s="17"/>
      <c r="H46" s="17"/>
      <c r="I46" s="17"/>
      <c r="J46" s="17"/>
      <c r="K46" s="17"/>
      <c r="L46" s="18"/>
    </row>
    <row r="47" spans="1:12" ht="22.75" customHeight="1">
      <c r="A47" s="35"/>
      <c r="B47" s="38" t="str">
        <f t="shared" si="1"/>
        <v/>
      </c>
      <c r="C47" s="17"/>
      <c r="D47" s="17"/>
      <c r="E47" s="17"/>
      <c r="F47" s="17"/>
      <c r="G47" s="17"/>
      <c r="H47" s="17"/>
      <c r="I47" s="17"/>
      <c r="J47" s="17"/>
      <c r="K47" s="17"/>
      <c r="L47" s="18"/>
    </row>
    <row r="48" spans="1:12" ht="22.75" customHeight="1">
      <c r="A48" s="35"/>
      <c r="B48" s="38" t="str">
        <f t="shared" si="1"/>
        <v/>
      </c>
      <c r="C48" s="17"/>
      <c r="D48" s="17"/>
      <c r="E48" s="17"/>
      <c r="F48" s="17"/>
      <c r="G48" s="17"/>
      <c r="H48" s="17"/>
      <c r="I48" s="17"/>
      <c r="J48" s="17"/>
      <c r="K48" s="17"/>
      <c r="L48" s="18"/>
    </row>
    <row r="49" spans="1:12" ht="22.75" customHeight="1">
      <c r="A49" s="35"/>
      <c r="B49" s="38" t="str">
        <f t="shared" si="1"/>
        <v/>
      </c>
      <c r="C49" s="17"/>
      <c r="D49" s="17"/>
      <c r="E49" s="17"/>
      <c r="F49" s="17"/>
      <c r="G49" s="17"/>
      <c r="H49" s="17"/>
      <c r="I49" s="17"/>
      <c r="J49" s="17"/>
      <c r="K49" s="17"/>
      <c r="L49" s="18"/>
    </row>
    <row r="50" spans="1:12" ht="22.75" customHeight="1">
      <c r="A50" s="35"/>
      <c r="B50" s="38" t="str">
        <f t="shared" si="1"/>
        <v/>
      </c>
      <c r="C50" s="17"/>
      <c r="D50" s="17"/>
      <c r="E50" s="17"/>
      <c r="F50" s="17"/>
      <c r="G50" s="17"/>
      <c r="H50" s="17"/>
      <c r="I50" s="17"/>
      <c r="J50" s="17"/>
      <c r="K50" s="17"/>
      <c r="L50" s="18"/>
    </row>
    <row r="51" spans="1:12" ht="22.75" customHeight="1">
      <c r="A51" s="35"/>
      <c r="B51" s="38" t="str">
        <f t="shared" si="1"/>
        <v/>
      </c>
      <c r="C51" s="17"/>
      <c r="D51" s="17"/>
      <c r="E51" s="17"/>
      <c r="F51" s="17"/>
      <c r="G51" s="17"/>
      <c r="H51" s="17"/>
      <c r="I51" s="17"/>
      <c r="J51" s="17"/>
      <c r="K51" s="17"/>
      <c r="L51" s="18"/>
    </row>
    <row r="52" spans="1:12" ht="22.75" customHeight="1">
      <c r="A52" s="35"/>
      <c r="B52" s="38" t="str">
        <f t="shared" si="1"/>
        <v/>
      </c>
      <c r="C52" s="17"/>
      <c r="D52" s="17"/>
      <c r="E52" s="17"/>
      <c r="F52" s="17"/>
      <c r="G52" s="17"/>
      <c r="H52" s="17"/>
      <c r="I52" s="17"/>
      <c r="J52" s="17"/>
      <c r="K52" s="17"/>
      <c r="L52" s="18"/>
    </row>
    <row r="53" spans="1:12" ht="22.75" customHeight="1">
      <c r="A53" s="35"/>
      <c r="B53" s="38" t="str">
        <f t="shared" si="1"/>
        <v/>
      </c>
      <c r="C53" s="17"/>
      <c r="D53" s="17"/>
      <c r="E53" s="17"/>
      <c r="F53" s="17"/>
      <c r="G53" s="17"/>
      <c r="H53" s="17"/>
      <c r="I53" s="17"/>
      <c r="J53" s="17"/>
      <c r="K53" s="17"/>
      <c r="L53" s="18"/>
    </row>
    <row r="54" spans="1:12" ht="22.75" customHeight="1">
      <c r="A54" s="35"/>
      <c r="B54" s="38" t="str">
        <f t="shared" si="1"/>
        <v/>
      </c>
      <c r="C54" s="17"/>
      <c r="D54" s="17"/>
      <c r="E54" s="17"/>
      <c r="F54" s="17"/>
      <c r="G54" s="17"/>
      <c r="H54" s="17"/>
      <c r="I54" s="17"/>
      <c r="J54" s="17"/>
      <c r="K54" s="17"/>
      <c r="L54" s="18"/>
    </row>
    <row r="55" spans="1:12" ht="22.75" customHeight="1">
      <c r="A55" s="35"/>
      <c r="B55" s="38" t="str">
        <f t="shared" si="1"/>
        <v/>
      </c>
      <c r="C55" s="17"/>
      <c r="D55" s="17"/>
      <c r="E55" s="17"/>
      <c r="F55" s="17"/>
      <c r="G55" s="17"/>
      <c r="H55" s="17"/>
      <c r="I55" s="17"/>
      <c r="J55" s="17"/>
      <c r="K55" s="17"/>
      <c r="L55" s="18"/>
    </row>
    <row r="56" spans="1:12" ht="22.75" customHeight="1">
      <c r="A56" s="35"/>
      <c r="B56" s="38" t="str">
        <f t="shared" si="1"/>
        <v/>
      </c>
      <c r="C56" s="17"/>
      <c r="D56" s="17"/>
      <c r="E56" s="17"/>
      <c r="F56" s="17"/>
      <c r="G56" s="17"/>
      <c r="H56" s="17"/>
      <c r="I56" s="17"/>
      <c r="J56" s="17"/>
      <c r="K56" s="17"/>
      <c r="L56" s="18"/>
    </row>
    <row r="57" spans="1:12" ht="22.75" customHeight="1">
      <c r="A57" s="35"/>
      <c r="B57" s="38" t="str">
        <f t="shared" si="1"/>
        <v/>
      </c>
      <c r="C57" s="17"/>
      <c r="D57" s="17"/>
      <c r="E57" s="17"/>
      <c r="F57" s="17"/>
      <c r="G57" s="17"/>
      <c r="H57" s="17"/>
      <c r="I57" s="17"/>
      <c r="J57" s="17"/>
      <c r="K57" s="17"/>
      <c r="L57" s="18"/>
    </row>
    <row r="58" spans="1:12" ht="22.75" customHeight="1">
      <c r="A58" s="35"/>
      <c r="B58" s="38" t="str">
        <f t="shared" si="1"/>
        <v/>
      </c>
      <c r="C58" s="17"/>
      <c r="D58" s="17"/>
      <c r="E58" s="17"/>
      <c r="F58" s="17"/>
      <c r="G58" s="17"/>
      <c r="H58" s="17"/>
      <c r="I58" s="17"/>
      <c r="J58" s="17"/>
      <c r="K58" s="17"/>
      <c r="L58" s="18"/>
    </row>
    <row r="59" spans="1:12" ht="22.75" customHeight="1">
      <c r="A59" s="35"/>
      <c r="B59" s="38" t="str">
        <f t="shared" si="1"/>
        <v/>
      </c>
      <c r="C59" s="17"/>
      <c r="D59" s="17"/>
      <c r="E59" s="17"/>
      <c r="F59" s="17"/>
      <c r="G59" s="17"/>
      <c r="H59" s="17"/>
      <c r="I59" s="17"/>
      <c r="J59" s="17"/>
      <c r="K59" s="17"/>
      <c r="L59" s="18"/>
    </row>
    <row r="60" spans="1:12" ht="22.75" customHeight="1">
      <c r="A60" s="35"/>
      <c r="B60" s="38" t="str">
        <f t="shared" si="1"/>
        <v/>
      </c>
      <c r="C60" s="17"/>
      <c r="D60" s="17"/>
      <c r="E60" s="17"/>
      <c r="F60" s="17"/>
      <c r="G60" s="17"/>
      <c r="H60" s="17"/>
      <c r="I60" s="17"/>
      <c r="J60" s="17"/>
      <c r="K60" s="17"/>
      <c r="L60" s="18"/>
    </row>
    <row r="61" spans="1:12" ht="22.75" customHeight="1">
      <c r="A61" s="35"/>
      <c r="B61" s="38" t="str">
        <f t="shared" si="1"/>
        <v/>
      </c>
      <c r="C61" s="17"/>
      <c r="D61" s="17"/>
      <c r="E61" s="17"/>
      <c r="F61" s="17"/>
      <c r="G61" s="17"/>
      <c r="H61" s="17"/>
      <c r="I61" s="17"/>
      <c r="J61" s="17"/>
      <c r="K61" s="17"/>
      <c r="L61" s="18"/>
    </row>
    <row r="62" spans="1:12" ht="22.75" customHeight="1">
      <c r="A62" s="35"/>
      <c r="B62" s="38" t="str">
        <f t="shared" si="1"/>
        <v/>
      </c>
      <c r="C62" s="17"/>
      <c r="D62" s="17"/>
      <c r="E62" s="17"/>
      <c r="F62" s="17"/>
      <c r="G62" s="17"/>
      <c r="H62" s="17"/>
      <c r="I62" s="17"/>
      <c r="J62" s="17"/>
      <c r="K62" s="17"/>
      <c r="L62" s="18"/>
    </row>
    <row r="63" spans="1:12" ht="22.75" customHeight="1">
      <c r="A63" s="35"/>
      <c r="B63" s="38" t="str">
        <f t="shared" si="1"/>
        <v/>
      </c>
      <c r="C63" s="17"/>
      <c r="D63" s="17"/>
      <c r="E63" s="17"/>
      <c r="F63" s="17"/>
      <c r="G63" s="17"/>
      <c r="H63" s="17"/>
      <c r="I63" s="17"/>
      <c r="J63" s="17"/>
      <c r="K63" s="17"/>
      <c r="L63" s="18"/>
    </row>
    <row r="64" spans="1:12" ht="22.75" customHeight="1">
      <c r="A64" s="35"/>
      <c r="B64" s="38" t="str">
        <f t="shared" si="1"/>
        <v/>
      </c>
      <c r="C64" s="17"/>
      <c r="D64" s="17"/>
      <c r="E64" s="17"/>
      <c r="F64" s="17"/>
      <c r="G64" s="17"/>
      <c r="H64" s="17"/>
      <c r="I64" s="17"/>
      <c r="J64" s="17"/>
      <c r="K64" s="17"/>
      <c r="L64" s="18"/>
    </row>
    <row r="65" spans="1:12" ht="22.75" customHeight="1">
      <c r="A65" s="35"/>
      <c r="B65" s="38" t="str">
        <f t="shared" si="1"/>
        <v/>
      </c>
      <c r="C65" s="17"/>
      <c r="D65" s="17"/>
      <c r="E65" s="17"/>
      <c r="F65" s="17"/>
      <c r="G65" s="17"/>
      <c r="H65" s="17"/>
      <c r="I65" s="17"/>
      <c r="J65" s="17"/>
      <c r="K65" s="17"/>
      <c r="L65" s="18"/>
    </row>
    <row r="66" spans="1:12" ht="22.75" customHeight="1">
      <c r="A66" s="35"/>
      <c r="B66" s="38" t="str">
        <f t="shared" si="1"/>
        <v/>
      </c>
      <c r="C66" s="17"/>
      <c r="D66" s="17"/>
      <c r="E66" s="17"/>
      <c r="F66" s="17"/>
      <c r="G66" s="17"/>
      <c r="H66" s="17"/>
      <c r="I66" s="17"/>
      <c r="J66" s="17"/>
      <c r="K66" s="17"/>
      <c r="L66" s="18"/>
    </row>
    <row r="67" spans="1:12" ht="22.75" customHeight="1">
      <c r="A67" s="35"/>
      <c r="B67" s="38" t="str">
        <f t="shared" si="1"/>
        <v/>
      </c>
      <c r="C67" s="17"/>
      <c r="D67" s="17"/>
      <c r="E67" s="17"/>
      <c r="F67" s="17"/>
      <c r="G67" s="17"/>
      <c r="H67" s="17"/>
      <c r="I67" s="17"/>
      <c r="J67" s="17"/>
      <c r="K67" s="17"/>
      <c r="L67" s="18"/>
    </row>
    <row r="68" spans="1:12" ht="22.75" customHeight="1">
      <c r="A68" s="35"/>
      <c r="B68" s="38" t="str">
        <f t="shared" si="1"/>
        <v/>
      </c>
      <c r="C68" s="17"/>
      <c r="D68" s="17"/>
      <c r="E68" s="17"/>
      <c r="F68" s="17"/>
      <c r="G68" s="17"/>
      <c r="H68" s="17"/>
      <c r="I68" s="17"/>
      <c r="J68" s="17"/>
      <c r="K68" s="17"/>
      <c r="L68" s="18"/>
    </row>
    <row r="69" spans="1:12" ht="22.75" customHeight="1">
      <c r="A69" s="35"/>
      <c r="B69" s="38" t="str">
        <f t="shared" ref="B69:B100" si="2">IF(A69="","",A69-WEEKDAY(A69,2)+1)</f>
        <v/>
      </c>
      <c r="C69" s="17"/>
      <c r="D69" s="17"/>
      <c r="E69" s="17"/>
      <c r="F69" s="17"/>
      <c r="G69" s="17"/>
      <c r="H69" s="17"/>
      <c r="I69" s="17"/>
      <c r="J69" s="17"/>
      <c r="K69" s="17"/>
      <c r="L69" s="18"/>
    </row>
    <row r="70" spans="1:12" ht="22.75" customHeight="1">
      <c r="A70" s="35"/>
      <c r="B70" s="38" t="str">
        <f t="shared" si="2"/>
        <v/>
      </c>
      <c r="C70" s="17"/>
      <c r="D70" s="17"/>
      <c r="E70" s="17"/>
      <c r="F70" s="17"/>
      <c r="G70" s="17"/>
      <c r="H70" s="17"/>
      <c r="I70" s="17"/>
      <c r="J70" s="17"/>
      <c r="K70" s="17"/>
      <c r="L70" s="18"/>
    </row>
    <row r="71" spans="1:12" ht="22.75" customHeight="1">
      <c r="A71" s="35"/>
      <c r="B71" s="38" t="str">
        <f t="shared" si="2"/>
        <v/>
      </c>
      <c r="C71" s="17"/>
      <c r="D71" s="17"/>
      <c r="E71" s="17"/>
      <c r="F71" s="17"/>
      <c r="G71" s="17"/>
      <c r="H71" s="17"/>
      <c r="I71" s="17"/>
      <c r="J71" s="17"/>
      <c r="K71" s="17"/>
      <c r="L71" s="18"/>
    </row>
    <row r="72" spans="1:12" ht="22.75" customHeight="1">
      <c r="A72" s="35"/>
      <c r="B72" s="38" t="str">
        <f t="shared" si="2"/>
        <v/>
      </c>
      <c r="C72" s="17"/>
      <c r="D72" s="17"/>
      <c r="E72" s="17"/>
      <c r="F72" s="17"/>
      <c r="G72" s="17"/>
      <c r="H72" s="17"/>
      <c r="I72" s="17"/>
      <c r="J72" s="17"/>
      <c r="K72" s="17"/>
      <c r="L72" s="18"/>
    </row>
    <row r="73" spans="1:12" ht="22.75" customHeight="1">
      <c r="A73" s="35"/>
      <c r="B73" s="38" t="str">
        <f t="shared" si="2"/>
        <v/>
      </c>
      <c r="C73" s="17"/>
      <c r="D73" s="17"/>
      <c r="E73" s="17"/>
      <c r="F73" s="17"/>
      <c r="G73" s="17"/>
      <c r="H73" s="17"/>
      <c r="I73" s="17"/>
      <c r="J73" s="17"/>
      <c r="K73" s="17"/>
      <c r="L73" s="18"/>
    </row>
    <row r="74" spans="1:12" ht="22.75" customHeight="1">
      <c r="A74" s="35"/>
      <c r="B74" s="38" t="str">
        <f t="shared" si="2"/>
        <v/>
      </c>
      <c r="C74" s="17"/>
      <c r="D74" s="17"/>
      <c r="E74" s="17"/>
      <c r="F74" s="17"/>
      <c r="G74" s="17"/>
      <c r="H74" s="17"/>
      <c r="I74" s="17"/>
      <c r="J74" s="17"/>
      <c r="K74" s="17"/>
      <c r="L74" s="18"/>
    </row>
    <row r="75" spans="1:12" ht="22.75" customHeight="1">
      <c r="A75" s="35"/>
      <c r="B75" s="38" t="str">
        <f t="shared" si="2"/>
        <v/>
      </c>
      <c r="C75" s="17"/>
      <c r="D75" s="17"/>
      <c r="E75" s="17"/>
      <c r="F75" s="17"/>
      <c r="G75" s="17"/>
      <c r="H75" s="17"/>
      <c r="I75" s="17"/>
      <c r="J75" s="17"/>
      <c r="K75" s="17"/>
      <c r="L75" s="18"/>
    </row>
    <row r="76" spans="1:12" ht="22.75" customHeight="1">
      <c r="A76" s="35"/>
      <c r="B76" s="38" t="str">
        <f t="shared" si="2"/>
        <v/>
      </c>
      <c r="C76" s="17"/>
      <c r="D76" s="17"/>
      <c r="E76" s="17"/>
      <c r="F76" s="17"/>
      <c r="G76" s="17"/>
      <c r="H76" s="17"/>
      <c r="I76" s="17"/>
      <c r="J76" s="17"/>
      <c r="K76" s="17"/>
      <c r="L76" s="18"/>
    </row>
    <row r="77" spans="1:12" ht="22.75" customHeight="1">
      <c r="A77" s="35"/>
      <c r="B77" s="38" t="str">
        <f t="shared" si="2"/>
        <v/>
      </c>
      <c r="C77" s="17"/>
      <c r="D77" s="17"/>
      <c r="E77" s="17"/>
      <c r="F77" s="17"/>
      <c r="G77" s="17"/>
      <c r="H77" s="17"/>
      <c r="I77" s="17"/>
      <c r="J77" s="17"/>
      <c r="K77" s="17"/>
      <c r="L77" s="18"/>
    </row>
    <row r="78" spans="1:12" ht="22.75" customHeight="1">
      <c r="A78" s="35"/>
      <c r="B78" s="38" t="str">
        <f t="shared" si="2"/>
        <v/>
      </c>
      <c r="C78" s="17"/>
      <c r="D78" s="17"/>
      <c r="E78" s="17"/>
      <c r="F78" s="17"/>
      <c r="G78" s="17"/>
      <c r="H78" s="17"/>
      <c r="I78" s="17"/>
      <c r="J78" s="17"/>
      <c r="K78" s="17"/>
      <c r="L78" s="18"/>
    </row>
    <row r="79" spans="1:12" ht="22.75" customHeight="1">
      <c r="A79" s="35"/>
      <c r="B79" s="38" t="str">
        <f t="shared" si="2"/>
        <v/>
      </c>
      <c r="C79" s="17"/>
      <c r="D79" s="17"/>
      <c r="E79" s="17"/>
      <c r="F79" s="17"/>
      <c r="G79" s="17"/>
      <c r="H79" s="17"/>
      <c r="I79" s="17"/>
      <c r="J79" s="17"/>
      <c r="K79" s="17"/>
      <c r="L79" s="18"/>
    </row>
    <row r="80" spans="1:12" ht="22.75" customHeight="1">
      <c r="A80" s="35"/>
      <c r="B80" s="38" t="str">
        <f t="shared" si="2"/>
        <v/>
      </c>
      <c r="C80" s="17"/>
      <c r="D80" s="17"/>
      <c r="E80" s="17"/>
      <c r="F80" s="17"/>
      <c r="G80" s="17"/>
      <c r="H80" s="17"/>
      <c r="I80" s="17"/>
      <c r="J80" s="17"/>
      <c r="K80" s="17"/>
      <c r="L80" s="18"/>
    </row>
    <row r="81" spans="1:12">
      <c r="A81" s="35"/>
      <c r="B81" s="38" t="str">
        <f t="shared" si="2"/>
        <v/>
      </c>
      <c r="C81" s="17"/>
      <c r="D81" s="17"/>
      <c r="E81" s="17"/>
      <c r="F81" s="17"/>
      <c r="G81" s="17"/>
      <c r="H81" s="17"/>
      <c r="I81" s="17"/>
      <c r="J81" s="17"/>
      <c r="K81" s="17"/>
      <c r="L81" s="18"/>
    </row>
    <row r="82" spans="1:12">
      <c r="A82" s="35"/>
      <c r="B82" s="38" t="str">
        <f t="shared" si="2"/>
        <v/>
      </c>
      <c r="C82" s="17"/>
      <c r="D82" s="17"/>
      <c r="E82" s="17"/>
      <c r="F82" s="17"/>
      <c r="G82" s="17"/>
      <c r="H82" s="17"/>
      <c r="I82" s="17"/>
      <c r="J82" s="17"/>
      <c r="K82" s="17"/>
      <c r="L82" s="18"/>
    </row>
    <row r="83" spans="1:12">
      <c r="A83" s="35"/>
      <c r="B83" s="38" t="str">
        <f t="shared" si="2"/>
        <v/>
      </c>
      <c r="C83" s="17"/>
      <c r="D83" s="17"/>
      <c r="E83" s="17"/>
      <c r="F83" s="17"/>
      <c r="G83" s="17"/>
      <c r="H83" s="17"/>
      <c r="I83" s="17"/>
      <c r="J83" s="17"/>
      <c r="K83" s="17"/>
      <c r="L83" s="18"/>
    </row>
    <row r="84" spans="1:12">
      <c r="A84" s="35"/>
      <c r="B84" s="38" t="str">
        <f t="shared" si="2"/>
        <v/>
      </c>
      <c r="C84" s="17"/>
      <c r="D84" s="17"/>
      <c r="E84" s="17"/>
      <c r="F84" s="17"/>
      <c r="G84" s="17"/>
      <c r="H84" s="17"/>
      <c r="I84" s="17"/>
      <c r="J84" s="17"/>
      <c r="K84" s="17"/>
      <c r="L84" s="18"/>
    </row>
    <row r="85" spans="1:12">
      <c r="A85" s="35"/>
      <c r="B85" s="38" t="str">
        <f t="shared" si="2"/>
        <v/>
      </c>
      <c r="C85" s="17"/>
      <c r="D85" s="17"/>
      <c r="E85" s="17"/>
      <c r="F85" s="17"/>
      <c r="G85" s="17"/>
      <c r="H85" s="17"/>
      <c r="I85" s="17"/>
      <c r="J85" s="17"/>
      <c r="K85" s="17"/>
      <c r="L85" s="18"/>
    </row>
    <row r="86" spans="1:12">
      <c r="A86" s="35"/>
      <c r="B86" s="38" t="str">
        <f t="shared" si="2"/>
        <v/>
      </c>
      <c r="C86" s="17"/>
      <c r="D86" s="17"/>
      <c r="E86" s="17"/>
      <c r="F86" s="17"/>
      <c r="G86" s="17"/>
      <c r="H86" s="17"/>
      <c r="I86" s="17"/>
      <c r="J86" s="17"/>
      <c r="K86" s="17"/>
      <c r="L86" s="18"/>
    </row>
    <row r="87" spans="1:12">
      <c r="A87" s="35"/>
      <c r="B87" s="38" t="str">
        <f t="shared" si="2"/>
        <v/>
      </c>
      <c r="C87" s="17"/>
      <c r="D87" s="17"/>
      <c r="E87" s="17"/>
      <c r="F87" s="17"/>
      <c r="G87" s="17"/>
      <c r="H87" s="17"/>
      <c r="I87" s="17"/>
      <c r="J87" s="17"/>
      <c r="K87" s="17"/>
      <c r="L87" s="18"/>
    </row>
    <row r="88" spans="1:12">
      <c r="A88" s="35"/>
      <c r="B88" s="38" t="str">
        <f t="shared" si="2"/>
        <v/>
      </c>
      <c r="C88" s="17"/>
      <c r="D88" s="17"/>
      <c r="E88" s="17"/>
      <c r="F88" s="17"/>
      <c r="G88" s="17"/>
      <c r="H88" s="17"/>
      <c r="I88" s="17"/>
      <c r="J88" s="17"/>
      <c r="K88" s="17"/>
      <c r="L88" s="18"/>
    </row>
    <row r="89" spans="1:12">
      <c r="A89" s="35"/>
      <c r="B89" s="38" t="str">
        <f t="shared" si="2"/>
        <v/>
      </c>
      <c r="C89" s="17"/>
      <c r="D89" s="17"/>
      <c r="E89" s="17"/>
      <c r="F89" s="17"/>
      <c r="G89" s="17"/>
      <c r="H89" s="17"/>
      <c r="I89" s="17"/>
      <c r="J89" s="17"/>
      <c r="K89" s="17"/>
      <c r="L89" s="18"/>
    </row>
    <row r="90" spans="1:12">
      <c r="A90" s="35"/>
      <c r="B90" s="38" t="str">
        <f t="shared" si="2"/>
        <v/>
      </c>
      <c r="C90" s="17"/>
      <c r="D90" s="17"/>
      <c r="E90" s="17"/>
      <c r="F90" s="17"/>
      <c r="G90" s="17"/>
      <c r="H90" s="17"/>
      <c r="I90" s="17"/>
      <c r="J90" s="17"/>
      <c r="K90" s="17"/>
      <c r="L90" s="18"/>
    </row>
    <row r="91" spans="1:12">
      <c r="A91" s="35"/>
      <c r="B91" s="38" t="str">
        <f t="shared" si="2"/>
        <v/>
      </c>
      <c r="C91" s="17"/>
      <c r="D91" s="17"/>
      <c r="E91" s="17"/>
      <c r="F91" s="17"/>
      <c r="G91" s="17"/>
      <c r="H91" s="17"/>
      <c r="I91" s="17"/>
      <c r="J91" s="17"/>
      <c r="K91" s="17"/>
      <c r="L91" s="18"/>
    </row>
    <row r="92" spans="1:12">
      <c r="A92" s="35"/>
      <c r="B92" s="38" t="str">
        <f t="shared" si="2"/>
        <v/>
      </c>
      <c r="C92" s="17"/>
      <c r="D92" s="17"/>
      <c r="E92" s="17"/>
      <c r="F92" s="17"/>
      <c r="G92" s="17"/>
      <c r="H92" s="17"/>
      <c r="I92" s="17"/>
      <c r="J92" s="17"/>
      <c r="K92" s="17"/>
      <c r="L92" s="18"/>
    </row>
    <row r="93" spans="1:12">
      <c r="A93" s="35"/>
      <c r="B93" s="38" t="str">
        <f t="shared" si="2"/>
        <v/>
      </c>
      <c r="C93" s="17"/>
      <c r="D93" s="17"/>
      <c r="E93" s="17"/>
      <c r="F93" s="17"/>
      <c r="G93" s="17"/>
      <c r="H93" s="17"/>
      <c r="I93" s="17"/>
      <c r="J93" s="17"/>
      <c r="K93" s="17"/>
      <c r="L93" s="18"/>
    </row>
    <row r="94" spans="1:12">
      <c r="A94" s="35"/>
      <c r="B94" s="38" t="str">
        <f t="shared" si="2"/>
        <v/>
      </c>
      <c r="C94" s="17"/>
      <c r="D94" s="17"/>
      <c r="E94" s="17"/>
      <c r="F94" s="17"/>
      <c r="G94" s="17"/>
      <c r="H94" s="17"/>
      <c r="I94" s="17"/>
      <c r="J94" s="17"/>
      <c r="K94" s="17"/>
      <c r="L94" s="18"/>
    </row>
    <row r="95" spans="1:12">
      <c r="A95" s="35"/>
      <c r="B95" s="38" t="str">
        <f t="shared" si="2"/>
        <v/>
      </c>
      <c r="C95" s="17"/>
      <c r="D95" s="17"/>
      <c r="E95" s="17"/>
      <c r="F95" s="17"/>
      <c r="G95" s="17"/>
      <c r="H95" s="17"/>
      <c r="I95" s="17"/>
      <c r="J95" s="17"/>
      <c r="K95" s="17"/>
      <c r="L95" s="18"/>
    </row>
    <row r="96" spans="1:12">
      <c r="A96" s="35"/>
      <c r="B96" s="38" t="str">
        <f t="shared" si="2"/>
        <v/>
      </c>
      <c r="C96" s="17"/>
      <c r="D96" s="17"/>
      <c r="E96" s="17"/>
      <c r="F96" s="17"/>
      <c r="G96" s="17"/>
      <c r="H96" s="17"/>
      <c r="I96" s="17"/>
      <c r="J96" s="17"/>
      <c r="K96" s="17"/>
      <c r="L96" s="18"/>
    </row>
    <row r="97" spans="1:12">
      <c r="A97" s="35"/>
      <c r="B97" s="38" t="str">
        <f t="shared" si="2"/>
        <v/>
      </c>
      <c r="C97" s="17"/>
      <c r="D97" s="17"/>
      <c r="E97" s="17"/>
      <c r="F97" s="17"/>
      <c r="G97" s="17"/>
      <c r="H97" s="17"/>
      <c r="I97" s="17"/>
      <c r="J97" s="17"/>
      <c r="K97" s="17"/>
      <c r="L97" s="18"/>
    </row>
    <row r="98" spans="1:12">
      <c r="A98" s="35"/>
      <c r="B98" s="38" t="str">
        <f t="shared" si="2"/>
        <v/>
      </c>
      <c r="C98" s="17"/>
      <c r="D98" s="17"/>
      <c r="E98" s="17"/>
      <c r="F98" s="17"/>
      <c r="G98" s="17"/>
      <c r="H98" s="17"/>
      <c r="I98" s="17"/>
      <c r="J98" s="17"/>
      <c r="K98" s="17"/>
      <c r="L98" s="18"/>
    </row>
    <row r="99" spans="1:12">
      <c r="A99" s="35"/>
      <c r="B99" s="38" t="str">
        <f t="shared" si="2"/>
        <v/>
      </c>
      <c r="C99" s="17"/>
      <c r="D99" s="17"/>
      <c r="E99" s="17"/>
      <c r="F99" s="17"/>
      <c r="G99" s="17"/>
      <c r="H99" s="17"/>
      <c r="I99" s="17"/>
      <c r="J99" s="17"/>
      <c r="K99" s="17"/>
      <c r="L99" s="18"/>
    </row>
    <row r="100" spans="1:12">
      <c r="A100" s="35"/>
      <c r="B100" s="38" t="str">
        <f t="shared" si="2"/>
        <v/>
      </c>
      <c r="C100" s="17"/>
      <c r="D100" s="17"/>
      <c r="E100" s="17"/>
      <c r="F100" s="17"/>
      <c r="G100" s="17"/>
      <c r="H100" s="17"/>
      <c r="I100" s="17"/>
      <c r="J100" s="17"/>
      <c r="K100" s="17"/>
      <c r="L100" s="18"/>
    </row>
    <row r="101" spans="1:12">
      <c r="A101" s="35"/>
      <c r="B101" s="38" t="str">
        <f t="shared" ref="B101:B124" si="3">IF(A101="","",A101-WEEKDAY(A101,2)+1)</f>
        <v/>
      </c>
      <c r="C101" s="17"/>
      <c r="D101" s="17"/>
      <c r="E101" s="17"/>
      <c r="F101" s="17"/>
      <c r="G101" s="17"/>
      <c r="H101" s="17"/>
      <c r="I101" s="17"/>
      <c r="J101" s="17"/>
      <c r="K101" s="17"/>
      <c r="L101" s="18"/>
    </row>
    <row r="102" spans="1:12">
      <c r="A102" s="35"/>
      <c r="B102" s="38" t="str">
        <f t="shared" si="3"/>
        <v/>
      </c>
      <c r="C102" s="17"/>
      <c r="D102" s="17"/>
      <c r="E102" s="17"/>
      <c r="F102" s="17"/>
      <c r="G102" s="17"/>
      <c r="H102" s="17"/>
      <c r="I102" s="17"/>
      <c r="J102" s="17"/>
      <c r="K102" s="17"/>
      <c r="L102" s="18"/>
    </row>
    <row r="103" spans="1:12">
      <c r="A103" s="35"/>
      <c r="B103" s="38" t="str">
        <f t="shared" si="3"/>
        <v/>
      </c>
      <c r="C103" s="17"/>
      <c r="D103" s="17"/>
      <c r="E103" s="17"/>
      <c r="F103" s="17"/>
      <c r="G103" s="17"/>
      <c r="H103" s="17"/>
      <c r="I103" s="17"/>
      <c r="J103" s="17"/>
      <c r="K103" s="17"/>
      <c r="L103" s="18"/>
    </row>
    <row r="104" spans="1:12">
      <c r="A104" s="35"/>
      <c r="B104" s="38" t="str">
        <f t="shared" si="3"/>
        <v/>
      </c>
      <c r="C104" s="17"/>
      <c r="D104" s="17"/>
      <c r="E104" s="17"/>
      <c r="F104" s="17"/>
      <c r="G104" s="17"/>
      <c r="H104" s="17"/>
      <c r="I104" s="17"/>
      <c r="J104" s="17"/>
      <c r="K104" s="17"/>
      <c r="L104" s="18"/>
    </row>
    <row r="105" spans="1:12">
      <c r="A105" s="35"/>
      <c r="B105" s="38" t="str">
        <f t="shared" si="3"/>
        <v/>
      </c>
      <c r="C105" s="17"/>
      <c r="D105" s="17"/>
      <c r="E105" s="17"/>
      <c r="F105" s="17"/>
      <c r="G105" s="17"/>
      <c r="H105" s="17"/>
      <c r="I105" s="17"/>
      <c r="J105" s="17"/>
      <c r="K105" s="17"/>
      <c r="L105" s="18"/>
    </row>
    <row r="106" spans="1:12">
      <c r="A106" s="35"/>
      <c r="B106" s="38" t="str">
        <f t="shared" si="3"/>
        <v/>
      </c>
      <c r="C106" s="17"/>
      <c r="D106" s="17"/>
      <c r="E106" s="17"/>
      <c r="F106" s="17"/>
      <c r="G106" s="17"/>
      <c r="H106" s="17"/>
      <c r="I106" s="17"/>
      <c r="J106" s="17"/>
      <c r="K106" s="17"/>
      <c r="L106" s="18"/>
    </row>
    <row r="107" spans="1:12">
      <c r="A107" s="35"/>
      <c r="B107" s="38" t="str">
        <f t="shared" si="3"/>
        <v/>
      </c>
      <c r="C107" s="17"/>
      <c r="D107" s="17"/>
      <c r="E107" s="17"/>
      <c r="F107" s="17"/>
      <c r="G107" s="17"/>
      <c r="H107" s="17"/>
      <c r="I107" s="17"/>
      <c r="J107" s="17"/>
      <c r="K107" s="17"/>
      <c r="L107" s="18"/>
    </row>
    <row r="108" spans="1:12">
      <c r="A108" s="35"/>
      <c r="B108" s="38" t="str">
        <f t="shared" si="3"/>
        <v/>
      </c>
      <c r="C108" s="17"/>
      <c r="D108" s="17"/>
      <c r="E108" s="17"/>
      <c r="F108" s="17"/>
      <c r="G108" s="17"/>
      <c r="H108" s="17"/>
      <c r="I108" s="17"/>
      <c r="J108" s="17"/>
      <c r="K108" s="17"/>
      <c r="L108" s="18"/>
    </row>
    <row r="109" spans="1:12">
      <c r="A109" s="35"/>
      <c r="B109" s="38" t="str">
        <f t="shared" si="3"/>
        <v/>
      </c>
      <c r="C109" s="17"/>
      <c r="D109" s="17"/>
      <c r="E109" s="17"/>
      <c r="F109" s="17"/>
      <c r="G109" s="17"/>
      <c r="H109" s="17"/>
      <c r="I109" s="17"/>
      <c r="J109" s="17"/>
      <c r="K109" s="17"/>
      <c r="L109" s="18"/>
    </row>
    <row r="110" spans="1:12">
      <c r="A110" s="35"/>
      <c r="B110" s="38" t="str">
        <f t="shared" si="3"/>
        <v/>
      </c>
      <c r="C110" s="17"/>
      <c r="D110" s="17"/>
      <c r="E110" s="17"/>
      <c r="F110" s="17"/>
      <c r="G110" s="17"/>
      <c r="H110" s="17"/>
      <c r="I110" s="17"/>
      <c r="J110" s="17"/>
      <c r="K110" s="17"/>
      <c r="L110" s="18"/>
    </row>
    <row r="111" spans="1:12">
      <c r="A111" s="35"/>
      <c r="B111" s="38" t="str">
        <f t="shared" si="3"/>
        <v/>
      </c>
      <c r="C111" s="17"/>
      <c r="D111" s="17"/>
      <c r="E111" s="17"/>
      <c r="F111" s="17"/>
      <c r="G111" s="17"/>
      <c r="H111" s="17"/>
      <c r="I111" s="17"/>
      <c r="J111" s="17"/>
      <c r="K111" s="17"/>
      <c r="L111" s="18"/>
    </row>
    <row r="112" spans="1:12">
      <c r="A112" s="35"/>
      <c r="B112" s="38" t="str">
        <f t="shared" si="3"/>
        <v/>
      </c>
      <c r="C112" s="17"/>
      <c r="D112" s="17"/>
      <c r="E112" s="17"/>
      <c r="F112" s="17"/>
      <c r="G112" s="17"/>
      <c r="H112" s="17"/>
      <c r="I112" s="17"/>
      <c r="J112" s="17"/>
      <c r="K112" s="17"/>
      <c r="L112" s="18"/>
    </row>
    <row r="113" spans="1:12">
      <c r="A113" s="35"/>
      <c r="B113" s="38" t="str">
        <f t="shared" si="3"/>
        <v/>
      </c>
      <c r="C113" s="17"/>
      <c r="D113" s="17"/>
      <c r="E113" s="17"/>
      <c r="F113" s="17"/>
      <c r="G113" s="17"/>
      <c r="H113" s="17"/>
      <c r="I113" s="17"/>
      <c r="J113" s="17"/>
      <c r="K113" s="17"/>
      <c r="L113" s="18"/>
    </row>
    <row r="114" spans="1:12">
      <c r="A114" s="35"/>
      <c r="B114" s="38" t="str">
        <f t="shared" si="3"/>
        <v/>
      </c>
      <c r="C114" s="17"/>
      <c r="D114" s="17"/>
      <c r="E114" s="17"/>
      <c r="F114" s="17"/>
      <c r="G114" s="17"/>
      <c r="H114" s="17"/>
      <c r="I114" s="17"/>
      <c r="J114" s="17"/>
      <c r="K114" s="17"/>
      <c r="L114" s="18"/>
    </row>
    <row r="115" spans="1:12">
      <c r="A115" s="35"/>
      <c r="B115" s="38" t="str">
        <f t="shared" si="3"/>
        <v/>
      </c>
      <c r="C115" s="17"/>
      <c r="D115" s="17"/>
      <c r="E115" s="17"/>
      <c r="F115" s="17"/>
      <c r="G115" s="17"/>
      <c r="H115" s="17"/>
      <c r="I115" s="17"/>
      <c r="J115" s="17"/>
      <c r="K115" s="17"/>
      <c r="L115" s="18"/>
    </row>
    <row r="116" spans="1:12">
      <c r="A116" s="35"/>
      <c r="B116" s="38" t="str">
        <f t="shared" si="3"/>
        <v/>
      </c>
      <c r="C116" s="17"/>
      <c r="D116" s="17"/>
      <c r="E116" s="17"/>
      <c r="F116" s="17"/>
      <c r="G116" s="17"/>
      <c r="H116" s="17"/>
      <c r="I116" s="17"/>
      <c r="J116" s="17"/>
      <c r="K116" s="17"/>
      <c r="L116" s="18"/>
    </row>
    <row r="117" spans="1:12">
      <c r="A117" s="35"/>
      <c r="B117" s="38" t="str">
        <f t="shared" si="3"/>
        <v/>
      </c>
      <c r="C117" s="17"/>
      <c r="D117" s="17"/>
      <c r="E117" s="17"/>
      <c r="F117" s="17"/>
      <c r="G117" s="17"/>
      <c r="H117" s="17"/>
      <c r="I117" s="17"/>
      <c r="J117" s="17"/>
      <c r="K117" s="17"/>
      <c r="L117" s="18"/>
    </row>
    <row r="118" spans="1:12">
      <c r="A118" s="35"/>
      <c r="B118" s="38" t="str">
        <f t="shared" si="3"/>
        <v/>
      </c>
      <c r="C118" s="17"/>
      <c r="D118" s="17"/>
      <c r="E118" s="17"/>
      <c r="F118" s="17"/>
      <c r="G118" s="17"/>
      <c r="H118" s="17"/>
      <c r="I118" s="17"/>
      <c r="J118" s="17"/>
      <c r="K118" s="17"/>
      <c r="L118" s="18"/>
    </row>
    <row r="119" spans="1:12">
      <c r="A119" s="35"/>
      <c r="B119" s="38" t="str">
        <f t="shared" si="3"/>
        <v/>
      </c>
      <c r="C119" s="17"/>
      <c r="D119" s="17"/>
      <c r="E119" s="17"/>
      <c r="F119" s="17"/>
      <c r="G119" s="17"/>
      <c r="H119" s="17"/>
      <c r="I119" s="17"/>
      <c r="J119" s="17"/>
      <c r="K119" s="17"/>
      <c r="L119" s="18"/>
    </row>
    <row r="120" spans="1:12">
      <c r="A120" s="35"/>
      <c r="B120" s="38" t="str">
        <f t="shared" si="3"/>
        <v/>
      </c>
      <c r="C120" s="17"/>
      <c r="D120" s="17"/>
      <c r="E120" s="17"/>
      <c r="F120" s="17"/>
      <c r="G120" s="17"/>
      <c r="H120" s="17"/>
      <c r="I120" s="17"/>
      <c r="J120" s="17"/>
      <c r="K120" s="17"/>
      <c r="L120" s="18"/>
    </row>
    <row r="121" spans="1:12">
      <c r="A121" s="35"/>
      <c r="B121" s="38" t="str">
        <f t="shared" si="3"/>
        <v/>
      </c>
      <c r="C121" s="17"/>
      <c r="D121" s="17"/>
      <c r="E121" s="17"/>
      <c r="F121" s="17"/>
      <c r="G121" s="17"/>
      <c r="H121" s="17"/>
      <c r="I121" s="17"/>
      <c r="J121" s="17"/>
      <c r="K121" s="17"/>
      <c r="L121" s="18"/>
    </row>
    <row r="122" spans="1:12">
      <c r="A122" s="35"/>
      <c r="B122" s="38" t="str">
        <f t="shared" si="3"/>
        <v/>
      </c>
      <c r="C122" s="17"/>
      <c r="D122" s="17"/>
      <c r="E122" s="17"/>
      <c r="F122" s="17"/>
      <c r="G122" s="17"/>
      <c r="H122" s="17"/>
      <c r="I122" s="17"/>
      <c r="J122" s="17"/>
      <c r="K122" s="17"/>
      <c r="L122" s="18"/>
    </row>
    <row r="123" spans="1:12">
      <c r="A123" s="35"/>
      <c r="B123" s="38" t="str">
        <f t="shared" si="3"/>
        <v/>
      </c>
      <c r="C123" s="17"/>
      <c r="D123" s="17"/>
      <c r="E123" s="17"/>
      <c r="F123" s="17"/>
      <c r="G123" s="17"/>
      <c r="H123" s="17"/>
      <c r="I123" s="17"/>
      <c r="J123" s="17"/>
      <c r="K123" s="17"/>
      <c r="L123" s="18"/>
    </row>
    <row r="124" spans="1:12">
      <c r="A124" s="36"/>
      <c r="B124" s="39" t="str">
        <f t="shared" si="3"/>
        <v/>
      </c>
      <c r="C124" s="20"/>
      <c r="D124" s="20"/>
      <c r="E124" s="20"/>
      <c r="F124" s="20"/>
      <c r="G124" s="20"/>
      <c r="H124" s="20"/>
      <c r="I124" s="20"/>
      <c r="J124" s="20"/>
      <c r="K124" s="20"/>
      <c r="L124" s="21"/>
    </row>
  </sheetData>
  <mergeCells count="2">
    <mergeCell ref="A1:L1"/>
    <mergeCell ref="A2:P2"/>
  </mergeCells>
  <conditionalFormatting sqref="H5:H124">
    <cfRule type="dataBar" priority="1">
      <dataBar>
        <cfvo type="min"/>
        <cfvo type="max"/>
        <color rgb="FFC4B5FD"/>
      </dataBar>
    </cfRule>
  </conditionalFormatting>
  <dataValidations count="6">
    <dataValidation type="list" sqref="C5:C124" xr:uid="{00000000-0002-0000-0800-000000000000}">
      <formula1>"Unit 1,Unit 2,Unit 3,Unit 4,Mixed"</formula1>
    </dataValidation>
    <dataValidation type="list" sqref="E5:E124" xr:uid="{00000000-0002-0000-0800-000001000000}">
      <formula1>"Read,Paper notes,Self-explain x1,Self-explain x2,Teach-back,Tutorial practice,Graph drill,Mixed revision,Mock test"</formula1>
    </dataValidation>
    <dataValidation type="list" sqref="F5:F124" xr:uid="{00000000-0002-0000-0800-000002000000}">
      <formula1>"A1,A2,Both,General"</formula1>
    </dataValidation>
    <dataValidation type="list" sqref="I5:I124" xr:uid="{00000000-0002-0000-0800-000003000000}">
      <formula1>"Low,Medium,High"</formula1>
    </dataValidation>
    <dataValidation type="list" sqref="J5:J124" xr:uid="{00000000-0002-0000-0800-000004000000}">
      <formula1>"1,2,3,4,5"</formula1>
    </dataValidation>
    <dataValidation type="list" sqref="K5:K124" xr:uid="{00000000-0002-0000-0800-000005000000}">
      <formula1>"Yes,No"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4"/>
  <sheetViews>
    <sheetView workbookViewId="0">
      <selection sqref="A1:J1"/>
    </sheetView>
  </sheetViews>
  <sheetFormatPr baseColWidth="10" defaultColWidth="8.83203125" defaultRowHeight="14"/>
  <cols>
    <col min="1" max="1" width="12" customWidth="1"/>
    <col min="2" max="2" width="10" customWidth="1"/>
    <col min="3" max="3" width="24" customWidth="1"/>
    <col min="4" max="4" width="28" customWidth="1"/>
    <col min="5" max="5" width="22" customWidth="1"/>
    <col min="6" max="6" width="32" customWidth="1"/>
    <col min="7" max="7" width="12" customWidth="1"/>
    <col min="8" max="9" width="10" customWidth="1"/>
    <col min="10" max="10" width="16" customWidth="1"/>
  </cols>
  <sheetData>
    <row r="1" spans="1:16" ht="91.25" customHeight="1">
      <c r="A1" s="60" t="s">
        <v>305</v>
      </c>
      <c r="B1" s="60"/>
      <c r="C1" s="60"/>
      <c r="D1" s="60"/>
      <c r="E1" s="60"/>
      <c r="F1" s="60"/>
      <c r="G1" s="60"/>
      <c r="H1" s="60"/>
      <c r="I1" s="60"/>
      <c r="J1" s="60"/>
    </row>
    <row r="2" spans="1:16" ht="250.5" customHeight="1">
      <c r="A2" s="55" t="s">
        <v>306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16" ht="45.5" customHeight="1">
      <c r="A4" s="40" t="s">
        <v>296</v>
      </c>
      <c r="B4" s="41" t="s">
        <v>58</v>
      </c>
      <c r="C4" s="41" t="s">
        <v>298</v>
      </c>
      <c r="D4" s="41" t="s">
        <v>307</v>
      </c>
      <c r="E4" s="41" t="s">
        <v>308</v>
      </c>
      <c r="F4" s="41" t="s">
        <v>309</v>
      </c>
      <c r="G4" s="41" t="s">
        <v>310</v>
      </c>
      <c r="H4" s="41" t="s">
        <v>311</v>
      </c>
      <c r="I4" s="41" t="s">
        <v>312</v>
      </c>
      <c r="J4" s="42" t="s">
        <v>2</v>
      </c>
    </row>
    <row r="5" spans="1:16" ht="22.75" customHeight="1">
      <c r="A5" s="34"/>
      <c r="B5" s="14"/>
      <c r="C5" s="14"/>
      <c r="D5" s="14"/>
      <c r="E5" s="14"/>
      <c r="F5" s="14"/>
      <c r="G5" s="37"/>
      <c r="H5" s="14"/>
      <c r="I5" s="14"/>
      <c r="J5" s="15"/>
    </row>
    <row r="6" spans="1:16" ht="22.75" customHeight="1">
      <c r="A6" s="35"/>
      <c r="B6" s="17"/>
      <c r="C6" s="17"/>
      <c r="D6" s="17"/>
      <c r="E6" s="17"/>
      <c r="F6" s="17"/>
      <c r="G6" s="38"/>
      <c r="H6" s="17"/>
      <c r="I6" s="17"/>
      <c r="J6" s="18"/>
    </row>
    <row r="7" spans="1:16" ht="22.75" customHeight="1">
      <c r="A7" s="35"/>
      <c r="B7" s="17"/>
      <c r="C7" s="17"/>
      <c r="D7" s="17"/>
      <c r="E7" s="17"/>
      <c r="F7" s="17"/>
      <c r="G7" s="38"/>
      <c r="H7" s="17"/>
      <c r="I7" s="17"/>
      <c r="J7" s="18"/>
    </row>
    <row r="8" spans="1:16" ht="22.75" customHeight="1">
      <c r="A8" s="35"/>
      <c r="B8" s="17"/>
      <c r="C8" s="17"/>
      <c r="D8" s="17"/>
      <c r="E8" s="17"/>
      <c r="F8" s="17"/>
      <c r="G8" s="38"/>
      <c r="H8" s="17"/>
      <c r="I8" s="17"/>
      <c r="J8" s="18"/>
    </row>
    <row r="9" spans="1:16" ht="22.75" customHeight="1">
      <c r="A9" s="35"/>
      <c r="B9" s="17"/>
      <c r="C9" s="17"/>
      <c r="D9" s="17"/>
      <c r="E9" s="17"/>
      <c r="F9" s="17"/>
      <c r="G9" s="38"/>
      <c r="H9" s="17"/>
      <c r="I9" s="17"/>
      <c r="J9" s="18"/>
    </row>
    <row r="10" spans="1:16" ht="22.75" customHeight="1">
      <c r="A10" s="35"/>
      <c r="B10" s="17"/>
      <c r="C10" s="17"/>
      <c r="D10" s="17"/>
      <c r="E10" s="17"/>
      <c r="F10" s="17"/>
      <c r="G10" s="38"/>
      <c r="H10" s="17"/>
      <c r="I10" s="17"/>
      <c r="J10" s="18"/>
    </row>
    <row r="11" spans="1:16" ht="22.75" customHeight="1">
      <c r="A11" s="35"/>
      <c r="B11" s="17"/>
      <c r="C11" s="17"/>
      <c r="D11" s="17"/>
      <c r="E11" s="17"/>
      <c r="F11" s="17"/>
      <c r="G11" s="38"/>
      <c r="H11" s="17"/>
      <c r="I11" s="17"/>
      <c r="J11" s="18"/>
    </row>
    <row r="12" spans="1:16" ht="22.75" customHeight="1">
      <c r="A12" s="35"/>
      <c r="B12" s="17"/>
      <c r="C12" s="17"/>
      <c r="D12" s="17"/>
      <c r="E12" s="17"/>
      <c r="F12" s="17"/>
      <c r="G12" s="38"/>
      <c r="H12" s="17"/>
      <c r="I12" s="17"/>
      <c r="J12" s="18"/>
    </row>
    <row r="13" spans="1:16" ht="22.75" customHeight="1">
      <c r="A13" s="35"/>
      <c r="B13" s="17"/>
      <c r="C13" s="17"/>
      <c r="D13" s="17"/>
      <c r="E13" s="17"/>
      <c r="F13" s="17"/>
      <c r="G13" s="38"/>
      <c r="H13" s="17"/>
      <c r="I13" s="17"/>
      <c r="J13" s="18"/>
    </row>
    <row r="14" spans="1:16" ht="22.75" customHeight="1">
      <c r="A14" s="35"/>
      <c r="B14" s="17"/>
      <c r="C14" s="17"/>
      <c r="D14" s="17"/>
      <c r="E14" s="17"/>
      <c r="F14" s="17"/>
      <c r="G14" s="38"/>
      <c r="H14" s="17"/>
      <c r="I14" s="17"/>
      <c r="J14" s="18"/>
    </row>
    <row r="15" spans="1:16" ht="22.75" customHeight="1">
      <c r="A15" s="35"/>
      <c r="B15" s="17"/>
      <c r="C15" s="17"/>
      <c r="D15" s="17"/>
      <c r="E15" s="17"/>
      <c r="F15" s="17"/>
      <c r="G15" s="38"/>
      <c r="H15" s="17"/>
      <c r="I15" s="17"/>
      <c r="J15" s="18"/>
    </row>
    <row r="16" spans="1:16" ht="22.75" customHeight="1">
      <c r="A16" s="35"/>
      <c r="B16" s="17"/>
      <c r="C16" s="17"/>
      <c r="D16" s="17"/>
      <c r="E16" s="17"/>
      <c r="F16" s="17"/>
      <c r="G16" s="38"/>
      <c r="H16" s="17"/>
      <c r="I16" s="17"/>
      <c r="J16" s="18"/>
    </row>
    <row r="17" spans="1:10" ht="22.75" customHeight="1">
      <c r="A17" s="35"/>
      <c r="B17" s="17"/>
      <c r="C17" s="17"/>
      <c r="D17" s="17"/>
      <c r="E17" s="17"/>
      <c r="F17" s="17"/>
      <c r="G17" s="38"/>
      <c r="H17" s="17"/>
      <c r="I17" s="17"/>
      <c r="J17" s="18"/>
    </row>
    <row r="18" spans="1:10" ht="22.75" customHeight="1">
      <c r="A18" s="35"/>
      <c r="B18" s="17"/>
      <c r="C18" s="17"/>
      <c r="D18" s="17"/>
      <c r="E18" s="17"/>
      <c r="F18" s="17"/>
      <c r="G18" s="38"/>
      <c r="H18" s="17"/>
      <c r="I18" s="17"/>
      <c r="J18" s="18"/>
    </row>
    <row r="19" spans="1:10" ht="22.75" customHeight="1">
      <c r="A19" s="35"/>
      <c r="B19" s="17"/>
      <c r="C19" s="17"/>
      <c r="D19" s="17"/>
      <c r="E19" s="17"/>
      <c r="F19" s="17"/>
      <c r="G19" s="38"/>
      <c r="H19" s="17"/>
      <c r="I19" s="17"/>
      <c r="J19" s="18"/>
    </row>
    <row r="20" spans="1:10" ht="22.75" customHeight="1">
      <c r="A20" s="35"/>
      <c r="B20" s="17"/>
      <c r="C20" s="17"/>
      <c r="D20" s="17"/>
      <c r="E20" s="17"/>
      <c r="F20" s="17"/>
      <c r="G20" s="38"/>
      <c r="H20" s="17"/>
      <c r="I20" s="17"/>
      <c r="J20" s="18"/>
    </row>
    <row r="21" spans="1:10" ht="22.75" customHeight="1">
      <c r="A21" s="35"/>
      <c r="B21" s="17"/>
      <c r="C21" s="17"/>
      <c r="D21" s="17"/>
      <c r="E21" s="17"/>
      <c r="F21" s="17"/>
      <c r="G21" s="38"/>
      <c r="H21" s="17"/>
      <c r="I21" s="17"/>
      <c r="J21" s="18"/>
    </row>
    <row r="22" spans="1:10" ht="22.75" customHeight="1">
      <c r="A22" s="35"/>
      <c r="B22" s="17"/>
      <c r="C22" s="17"/>
      <c r="D22" s="17"/>
      <c r="E22" s="17"/>
      <c r="F22" s="17"/>
      <c r="G22" s="38"/>
      <c r="H22" s="17"/>
      <c r="I22" s="17"/>
      <c r="J22" s="18"/>
    </row>
    <row r="23" spans="1:10" ht="22.75" customHeight="1">
      <c r="A23" s="35"/>
      <c r="B23" s="17"/>
      <c r="C23" s="17"/>
      <c r="D23" s="17"/>
      <c r="E23" s="17"/>
      <c r="F23" s="17"/>
      <c r="G23" s="38"/>
      <c r="H23" s="17"/>
      <c r="I23" s="17"/>
      <c r="J23" s="18"/>
    </row>
    <row r="24" spans="1:10" ht="22.75" customHeight="1">
      <c r="A24" s="35"/>
      <c r="B24" s="17"/>
      <c r="C24" s="17"/>
      <c r="D24" s="17"/>
      <c r="E24" s="17"/>
      <c r="F24" s="17"/>
      <c r="G24" s="38"/>
      <c r="H24" s="17"/>
      <c r="I24" s="17"/>
      <c r="J24" s="18"/>
    </row>
    <row r="25" spans="1:10" ht="22.75" customHeight="1">
      <c r="A25" s="35"/>
      <c r="B25" s="17"/>
      <c r="C25" s="17"/>
      <c r="D25" s="17"/>
      <c r="E25" s="17"/>
      <c r="F25" s="17"/>
      <c r="G25" s="38"/>
      <c r="H25" s="17"/>
      <c r="I25" s="17"/>
      <c r="J25" s="18"/>
    </row>
    <row r="26" spans="1:10" ht="22.75" customHeight="1">
      <c r="A26" s="35"/>
      <c r="B26" s="17"/>
      <c r="C26" s="17"/>
      <c r="D26" s="17"/>
      <c r="E26" s="17"/>
      <c r="F26" s="17"/>
      <c r="G26" s="38"/>
      <c r="H26" s="17"/>
      <c r="I26" s="17"/>
      <c r="J26" s="18"/>
    </row>
    <row r="27" spans="1:10" ht="22.75" customHeight="1">
      <c r="A27" s="35"/>
      <c r="B27" s="17"/>
      <c r="C27" s="17"/>
      <c r="D27" s="17"/>
      <c r="E27" s="17"/>
      <c r="F27" s="17"/>
      <c r="G27" s="38"/>
      <c r="H27" s="17"/>
      <c r="I27" s="17"/>
      <c r="J27" s="18"/>
    </row>
    <row r="28" spans="1:10" ht="22.75" customHeight="1">
      <c r="A28" s="35"/>
      <c r="B28" s="17"/>
      <c r="C28" s="17"/>
      <c r="D28" s="17"/>
      <c r="E28" s="17"/>
      <c r="F28" s="17"/>
      <c r="G28" s="38"/>
      <c r="H28" s="17"/>
      <c r="I28" s="17"/>
      <c r="J28" s="18"/>
    </row>
    <row r="29" spans="1:10" ht="22.75" customHeight="1">
      <c r="A29" s="35"/>
      <c r="B29" s="17"/>
      <c r="C29" s="17"/>
      <c r="D29" s="17"/>
      <c r="E29" s="17"/>
      <c r="F29" s="17"/>
      <c r="G29" s="38"/>
      <c r="H29" s="17"/>
      <c r="I29" s="17"/>
      <c r="J29" s="18"/>
    </row>
    <row r="30" spans="1:10" ht="22.75" customHeight="1">
      <c r="A30" s="35"/>
      <c r="B30" s="17"/>
      <c r="C30" s="17"/>
      <c r="D30" s="17"/>
      <c r="E30" s="17"/>
      <c r="F30" s="17"/>
      <c r="G30" s="38"/>
      <c r="H30" s="17"/>
      <c r="I30" s="17"/>
      <c r="J30" s="18"/>
    </row>
    <row r="31" spans="1:10" ht="22.75" customHeight="1">
      <c r="A31" s="35"/>
      <c r="B31" s="17"/>
      <c r="C31" s="17"/>
      <c r="D31" s="17"/>
      <c r="E31" s="17"/>
      <c r="F31" s="17"/>
      <c r="G31" s="38"/>
      <c r="H31" s="17"/>
      <c r="I31" s="17"/>
      <c r="J31" s="18"/>
    </row>
    <row r="32" spans="1:10" ht="22.75" customHeight="1">
      <c r="A32" s="35"/>
      <c r="B32" s="17"/>
      <c r="C32" s="17"/>
      <c r="D32" s="17"/>
      <c r="E32" s="17"/>
      <c r="F32" s="17"/>
      <c r="G32" s="38"/>
      <c r="H32" s="17"/>
      <c r="I32" s="17"/>
      <c r="J32" s="18"/>
    </row>
    <row r="33" spans="1:10" ht="22.75" customHeight="1">
      <c r="A33" s="35"/>
      <c r="B33" s="17"/>
      <c r="C33" s="17"/>
      <c r="D33" s="17"/>
      <c r="E33" s="17"/>
      <c r="F33" s="17"/>
      <c r="G33" s="38"/>
      <c r="H33" s="17"/>
      <c r="I33" s="17"/>
      <c r="J33" s="18"/>
    </row>
    <row r="34" spans="1:10" ht="22.75" customHeight="1">
      <c r="A34" s="35"/>
      <c r="B34" s="17"/>
      <c r="C34" s="17"/>
      <c r="D34" s="17"/>
      <c r="E34" s="17"/>
      <c r="F34" s="17"/>
      <c r="G34" s="38"/>
      <c r="H34" s="17"/>
      <c r="I34" s="17"/>
      <c r="J34" s="18"/>
    </row>
    <row r="35" spans="1:10" ht="22.75" customHeight="1">
      <c r="A35" s="35"/>
      <c r="B35" s="17"/>
      <c r="C35" s="17"/>
      <c r="D35" s="17"/>
      <c r="E35" s="17"/>
      <c r="F35" s="17"/>
      <c r="G35" s="38"/>
      <c r="H35" s="17"/>
      <c r="I35" s="17"/>
      <c r="J35" s="18"/>
    </row>
    <row r="36" spans="1:10" ht="22.75" customHeight="1">
      <c r="A36" s="35"/>
      <c r="B36" s="17"/>
      <c r="C36" s="17"/>
      <c r="D36" s="17"/>
      <c r="E36" s="17"/>
      <c r="F36" s="17"/>
      <c r="G36" s="38"/>
      <c r="H36" s="17"/>
      <c r="I36" s="17"/>
      <c r="J36" s="18"/>
    </row>
    <row r="37" spans="1:10" ht="22.75" customHeight="1">
      <c r="A37" s="35"/>
      <c r="B37" s="17"/>
      <c r="C37" s="17"/>
      <c r="D37" s="17"/>
      <c r="E37" s="17"/>
      <c r="F37" s="17"/>
      <c r="G37" s="38"/>
      <c r="H37" s="17"/>
      <c r="I37" s="17"/>
      <c r="J37" s="18"/>
    </row>
    <row r="38" spans="1:10" ht="22.75" customHeight="1">
      <c r="A38" s="35"/>
      <c r="B38" s="17"/>
      <c r="C38" s="17"/>
      <c r="D38" s="17"/>
      <c r="E38" s="17"/>
      <c r="F38" s="17"/>
      <c r="G38" s="38"/>
      <c r="H38" s="17"/>
      <c r="I38" s="17"/>
      <c r="J38" s="18"/>
    </row>
    <row r="39" spans="1:10" ht="22.75" customHeight="1">
      <c r="A39" s="35"/>
      <c r="B39" s="17"/>
      <c r="C39" s="17"/>
      <c r="D39" s="17"/>
      <c r="E39" s="17"/>
      <c r="F39" s="17"/>
      <c r="G39" s="38"/>
      <c r="H39" s="17"/>
      <c r="I39" s="17"/>
      <c r="J39" s="18"/>
    </row>
    <row r="40" spans="1:10" ht="22.75" customHeight="1">
      <c r="A40" s="35"/>
      <c r="B40" s="17"/>
      <c r="C40" s="17"/>
      <c r="D40" s="17"/>
      <c r="E40" s="17"/>
      <c r="F40" s="17"/>
      <c r="G40" s="38"/>
      <c r="H40" s="17"/>
      <c r="I40" s="17"/>
      <c r="J40" s="18"/>
    </row>
    <row r="41" spans="1:10" ht="22.75" customHeight="1">
      <c r="A41" s="35"/>
      <c r="B41" s="17"/>
      <c r="C41" s="17"/>
      <c r="D41" s="17"/>
      <c r="E41" s="17"/>
      <c r="F41" s="17"/>
      <c r="G41" s="38"/>
      <c r="H41" s="17"/>
      <c r="I41" s="17"/>
      <c r="J41" s="18"/>
    </row>
    <row r="42" spans="1:10" ht="22.75" customHeight="1">
      <c r="A42" s="35"/>
      <c r="B42" s="17"/>
      <c r="C42" s="17"/>
      <c r="D42" s="17"/>
      <c r="E42" s="17"/>
      <c r="F42" s="17"/>
      <c r="G42" s="38"/>
      <c r="H42" s="17"/>
      <c r="I42" s="17"/>
      <c r="J42" s="18"/>
    </row>
    <row r="43" spans="1:10" ht="22.75" customHeight="1">
      <c r="A43" s="35"/>
      <c r="B43" s="17"/>
      <c r="C43" s="17"/>
      <c r="D43" s="17"/>
      <c r="E43" s="17"/>
      <c r="F43" s="17"/>
      <c r="G43" s="38"/>
      <c r="H43" s="17"/>
      <c r="I43" s="17"/>
      <c r="J43" s="18"/>
    </row>
    <row r="44" spans="1:10" ht="22.75" customHeight="1">
      <c r="A44" s="35"/>
      <c r="B44" s="17"/>
      <c r="C44" s="17"/>
      <c r="D44" s="17"/>
      <c r="E44" s="17"/>
      <c r="F44" s="17"/>
      <c r="G44" s="38"/>
      <c r="H44" s="17"/>
      <c r="I44" s="17"/>
      <c r="J44" s="18"/>
    </row>
    <row r="45" spans="1:10" ht="22.75" customHeight="1">
      <c r="A45" s="35"/>
      <c r="B45" s="17"/>
      <c r="C45" s="17"/>
      <c r="D45" s="17"/>
      <c r="E45" s="17"/>
      <c r="F45" s="17"/>
      <c r="G45" s="38"/>
      <c r="H45" s="17"/>
      <c r="I45" s="17"/>
      <c r="J45" s="18"/>
    </row>
    <row r="46" spans="1:10" ht="22.75" customHeight="1">
      <c r="A46" s="35"/>
      <c r="B46" s="17"/>
      <c r="C46" s="17"/>
      <c r="D46" s="17"/>
      <c r="E46" s="17"/>
      <c r="F46" s="17"/>
      <c r="G46" s="38"/>
      <c r="H46" s="17"/>
      <c r="I46" s="17"/>
      <c r="J46" s="18"/>
    </row>
    <row r="47" spans="1:10" ht="22.75" customHeight="1">
      <c r="A47" s="35"/>
      <c r="B47" s="17"/>
      <c r="C47" s="17"/>
      <c r="D47" s="17"/>
      <c r="E47" s="17"/>
      <c r="F47" s="17"/>
      <c r="G47" s="38"/>
      <c r="H47" s="17"/>
      <c r="I47" s="17"/>
      <c r="J47" s="18"/>
    </row>
    <row r="48" spans="1:10" ht="22.75" customHeight="1">
      <c r="A48" s="35"/>
      <c r="B48" s="17"/>
      <c r="C48" s="17"/>
      <c r="D48" s="17"/>
      <c r="E48" s="17"/>
      <c r="F48" s="17"/>
      <c r="G48" s="38"/>
      <c r="H48" s="17"/>
      <c r="I48" s="17"/>
      <c r="J48" s="18"/>
    </row>
    <row r="49" spans="1:10" ht="22.75" customHeight="1">
      <c r="A49" s="35"/>
      <c r="B49" s="17"/>
      <c r="C49" s="17"/>
      <c r="D49" s="17"/>
      <c r="E49" s="17"/>
      <c r="F49" s="17"/>
      <c r="G49" s="38"/>
      <c r="H49" s="17"/>
      <c r="I49" s="17"/>
      <c r="J49" s="18"/>
    </row>
    <row r="50" spans="1:10" ht="22.75" customHeight="1">
      <c r="A50" s="35"/>
      <c r="B50" s="17"/>
      <c r="C50" s="17"/>
      <c r="D50" s="17"/>
      <c r="E50" s="17"/>
      <c r="F50" s="17"/>
      <c r="G50" s="38"/>
      <c r="H50" s="17"/>
      <c r="I50" s="17"/>
      <c r="J50" s="18"/>
    </row>
    <row r="51" spans="1:10" ht="22.75" customHeight="1">
      <c r="A51" s="35"/>
      <c r="B51" s="17"/>
      <c r="C51" s="17"/>
      <c r="D51" s="17"/>
      <c r="E51" s="17"/>
      <c r="F51" s="17"/>
      <c r="G51" s="38"/>
      <c r="H51" s="17"/>
      <c r="I51" s="17"/>
      <c r="J51" s="18"/>
    </row>
    <row r="52" spans="1:10" ht="22.75" customHeight="1">
      <c r="A52" s="35"/>
      <c r="B52" s="17"/>
      <c r="C52" s="17"/>
      <c r="D52" s="17"/>
      <c r="E52" s="17"/>
      <c r="F52" s="17"/>
      <c r="G52" s="38"/>
      <c r="H52" s="17"/>
      <c r="I52" s="17"/>
      <c r="J52" s="18"/>
    </row>
    <row r="53" spans="1:10" ht="22.75" customHeight="1">
      <c r="A53" s="35"/>
      <c r="B53" s="17"/>
      <c r="C53" s="17"/>
      <c r="D53" s="17"/>
      <c r="E53" s="17"/>
      <c r="F53" s="17"/>
      <c r="G53" s="38"/>
      <c r="H53" s="17"/>
      <c r="I53" s="17"/>
      <c r="J53" s="18"/>
    </row>
    <row r="54" spans="1:10" ht="22.75" customHeight="1">
      <c r="A54" s="35"/>
      <c r="B54" s="17"/>
      <c r="C54" s="17"/>
      <c r="D54" s="17"/>
      <c r="E54" s="17"/>
      <c r="F54" s="17"/>
      <c r="G54" s="38"/>
      <c r="H54" s="17"/>
      <c r="I54" s="17"/>
      <c r="J54" s="18"/>
    </row>
    <row r="55" spans="1:10" ht="22.75" customHeight="1">
      <c r="A55" s="35"/>
      <c r="B55" s="17"/>
      <c r="C55" s="17"/>
      <c r="D55" s="17"/>
      <c r="E55" s="17"/>
      <c r="F55" s="17"/>
      <c r="G55" s="38"/>
      <c r="H55" s="17"/>
      <c r="I55" s="17"/>
      <c r="J55" s="18"/>
    </row>
    <row r="56" spans="1:10" ht="22.75" customHeight="1">
      <c r="A56" s="35"/>
      <c r="B56" s="17"/>
      <c r="C56" s="17"/>
      <c r="D56" s="17"/>
      <c r="E56" s="17"/>
      <c r="F56" s="17"/>
      <c r="G56" s="38"/>
      <c r="H56" s="17"/>
      <c r="I56" s="17"/>
      <c r="J56" s="18"/>
    </row>
    <row r="57" spans="1:10" ht="22.75" customHeight="1">
      <c r="A57" s="35"/>
      <c r="B57" s="17"/>
      <c r="C57" s="17"/>
      <c r="D57" s="17"/>
      <c r="E57" s="17"/>
      <c r="F57" s="17"/>
      <c r="G57" s="38"/>
      <c r="H57" s="17"/>
      <c r="I57" s="17"/>
      <c r="J57" s="18"/>
    </row>
    <row r="58" spans="1:10" ht="22.75" customHeight="1">
      <c r="A58" s="35"/>
      <c r="B58" s="17"/>
      <c r="C58" s="17"/>
      <c r="D58" s="17"/>
      <c r="E58" s="17"/>
      <c r="F58" s="17"/>
      <c r="G58" s="38"/>
      <c r="H58" s="17"/>
      <c r="I58" s="17"/>
      <c r="J58" s="18"/>
    </row>
    <row r="59" spans="1:10" ht="22.75" customHeight="1">
      <c r="A59" s="35"/>
      <c r="B59" s="17"/>
      <c r="C59" s="17"/>
      <c r="D59" s="17"/>
      <c r="E59" s="17"/>
      <c r="F59" s="17"/>
      <c r="G59" s="38"/>
      <c r="H59" s="17"/>
      <c r="I59" s="17"/>
      <c r="J59" s="18"/>
    </row>
    <row r="60" spans="1:10" ht="22.75" customHeight="1">
      <c r="A60" s="35"/>
      <c r="B60" s="17"/>
      <c r="C60" s="17"/>
      <c r="D60" s="17"/>
      <c r="E60" s="17"/>
      <c r="F60" s="17"/>
      <c r="G60" s="38"/>
      <c r="H60" s="17"/>
      <c r="I60" s="17"/>
      <c r="J60" s="18"/>
    </row>
    <row r="61" spans="1:10" ht="22.75" customHeight="1">
      <c r="A61" s="35"/>
      <c r="B61" s="17"/>
      <c r="C61" s="17"/>
      <c r="D61" s="17"/>
      <c r="E61" s="17"/>
      <c r="F61" s="17"/>
      <c r="G61" s="38"/>
      <c r="H61" s="17"/>
      <c r="I61" s="17"/>
      <c r="J61" s="18"/>
    </row>
    <row r="62" spans="1:10" ht="22.75" customHeight="1">
      <c r="A62" s="35"/>
      <c r="B62" s="17"/>
      <c r="C62" s="17"/>
      <c r="D62" s="17"/>
      <c r="E62" s="17"/>
      <c r="F62" s="17"/>
      <c r="G62" s="38"/>
      <c r="H62" s="17"/>
      <c r="I62" s="17"/>
      <c r="J62" s="18"/>
    </row>
    <row r="63" spans="1:10" ht="22.75" customHeight="1">
      <c r="A63" s="35"/>
      <c r="B63" s="17"/>
      <c r="C63" s="17"/>
      <c r="D63" s="17"/>
      <c r="E63" s="17"/>
      <c r="F63" s="17"/>
      <c r="G63" s="38"/>
      <c r="H63" s="17"/>
      <c r="I63" s="17"/>
      <c r="J63" s="18"/>
    </row>
    <row r="64" spans="1:10" ht="22.75" customHeight="1">
      <c r="A64" s="35"/>
      <c r="B64" s="17"/>
      <c r="C64" s="17"/>
      <c r="D64" s="17"/>
      <c r="E64" s="17"/>
      <c r="F64" s="17"/>
      <c r="G64" s="38"/>
      <c r="H64" s="17"/>
      <c r="I64" s="17"/>
      <c r="J64" s="18"/>
    </row>
    <row r="65" spans="1:10" ht="22.75" customHeight="1">
      <c r="A65" s="35"/>
      <c r="B65" s="17"/>
      <c r="C65" s="17"/>
      <c r="D65" s="17"/>
      <c r="E65" s="17"/>
      <c r="F65" s="17"/>
      <c r="G65" s="38"/>
      <c r="H65" s="17"/>
      <c r="I65" s="17"/>
      <c r="J65" s="18"/>
    </row>
    <row r="66" spans="1:10" ht="22.75" customHeight="1">
      <c r="A66" s="35"/>
      <c r="B66" s="17"/>
      <c r="C66" s="17"/>
      <c r="D66" s="17"/>
      <c r="E66" s="17"/>
      <c r="F66" s="17"/>
      <c r="G66" s="38"/>
      <c r="H66" s="17"/>
      <c r="I66" s="17"/>
      <c r="J66" s="18"/>
    </row>
    <row r="67" spans="1:10" ht="22.75" customHeight="1">
      <c r="A67" s="35"/>
      <c r="B67" s="17"/>
      <c r="C67" s="17"/>
      <c r="D67" s="17"/>
      <c r="E67" s="17"/>
      <c r="F67" s="17"/>
      <c r="G67" s="38"/>
      <c r="H67" s="17"/>
      <c r="I67" s="17"/>
      <c r="J67" s="18"/>
    </row>
    <row r="68" spans="1:10" ht="22.75" customHeight="1">
      <c r="A68" s="35"/>
      <c r="B68" s="17"/>
      <c r="C68" s="17"/>
      <c r="D68" s="17"/>
      <c r="E68" s="17"/>
      <c r="F68" s="17"/>
      <c r="G68" s="38"/>
      <c r="H68" s="17"/>
      <c r="I68" s="17"/>
      <c r="J68" s="18"/>
    </row>
    <row r="69" spans="1:10" ht="22.75" customHeight="1">
      <c r="A69" s="35"/>
      <c r="B69" s="17"/>
      <c r="C69" s="17"/>
      <c r="D69" s="17"/>
      <c r="E69" s="17"/>
      <c r="F69" s="17"/>
      <c r="G69" s="38"/>
      <c r="H69" s="17"/>
      <c r="I69" s="17"/>
      <c r="J69" s="18"/>
    </row>
    <row r="70" spans="1:10" ht="22.75" customHeight="1">
      <c r="A70" s="35"/>
      <c r="B70" s="17"/>
      <c r="C70" s="17"/>
      <c r="D70" s="17"/>
      <c r="E70" s="17"/>
      <c r="F70" s="17"/>
      <c r="G70" s="38"/>
      <c r="H70" s="17"/>
      <c r="I70" s="17"/>
      <c r="J70" s="18"/>
    </row>
    <row r="71" spans="1:10" ht="22.75" customHeight="1">
      <c r="A71" s="35"/>
      <c r="B71" s="17"/>
      <c r="C71" s="17"/>
      <c r="D71" s="17"/>
      <c r="E71" s="17"/>
      <c r="F71" s="17"/>
      <c r="G71" s="38"/>
      <c r="H71" s="17"/>
      <c r="I71" s="17"/>
      <c r="J71" s="18"/>
    </row>
    <row r="72" spans="1:10" ht="22.75" customHeight="1">
      <c r="A72" s="35"/>
      <c r="B72" s="17"/>
      <c r="C72" s="17"/>
      <c r="D72" s="17"/>
      <c r="E72" s="17"/>
      <c r="F72" s="17"/>
      <c r="G72" s="38"/>
      <c r="H72" s="17"/>
      <c r="I72" s="17"/>
      <c r="J72" s="18"/>
    </row>
    <row r="73" spans="1:10" ht="22.75" customHeight="1">
      <c r="A73" s="35"/>
      <c r="B73" s="17"/>
      <c r="C73" s="17"/>
      <c r="D73" s="17"/>
      <c r="E73" s="17"/>
      <c r="F73" s="17"/>
      <c r="G73" s="38"/>
      <c r="H73" s="17"/>
      <c r="I73" s="17"/>
      <c r="J73" s="18"/>
    </row>
    <row r="74" spans="1:10" ht="22.75" customHeight="1">
      <c r="A74" s="35"/>
      <c r="B74" s="17"/>
      <c r="C74" s="17"/>
      <c r="D74" s="17"/>
      <c r="E74" s="17"/>
      <c r="F74" s="17"/>
      <c r="G74" s="38"/>
      <c r="H74" s="17"/>
      <c r="I74" s="17"/>
      <c r="J74" s="18"/>
    </row>
    <row r="75" spans="1:10" ht="22.75" customHeight="1">
      <c r="A75" s="35"/>
      <c r="B75" s="17"/>
      <c r="C75" s="17"/>
      <c r="D75" s="17"/>
      <c r="E75" s="17"/>
      <c r="F75" s="17"/>
      <c r="G75" s="38"/>
      <c r="H75" s="17"/>
      <c r="I75" s="17"/>
      <c r="J75" s="18"/>
    </row>
    <row r="76" spans="1:10" ht="22.75" customHeight="1">
      <c r="A76" s="35"/>
      <c r="B76" s="17"/>
      <c r="C76" s="17"/>
      <c r="D76" s="17"/>
      <c r="E76" s="17"/>
      <c r="F76" s="17"/>
      <c r="G76" s="38"/>
      <c r="H76" s="17"/>
      <c r="I76" s="17"/>
      <c r="J76" s="18"/>
    </row>
    <row r="77" spans="1:10" ht="22.75" customHeight="1">
      <c r="A77" s="35"/>
      <c r="B77" s="17"/>
      <c r="C77" s="17"/>
      <c r="D77" s="17"/>
      <c r="E77" s="17"/>
      <c r="F77" s="17"/>
      <c r="G77" s="38"/>
      <c r="H77" s="17"/>
      <c r="I77" s="17"/>
      <c r="J77" s="18"/>
    </row>
    <row r="78" spans="1:10" ht="22.75" customHeight="1">
      <c r="A78" s="35"/>
      <c r="B78" s="17"/>
      <c r="C78" s="17"/>
      <c r="D78" s="17"/>
      <c r="E78" s="17"/>
      <c r="F78" s="17"/>
      <c r="G78" s="38"/>
      <c r="H78" s="17"/>
      <c r="I78" s="17"/>
      <c r="J78" s="18"/>
    </row>
    <row r="79" spans="1:10" ht="22.75" customHeight="1">
      <c r="A79" s="35"/>
      <c r="B79" s="17"/>
      <c r="C79" s="17"/>
      <c r="D79" s="17"/>
      <c r="E79" s="17"/>
      <c r="F79" s="17"/>
      <c r="G79" s="38"/>
      <c r="H79" s="17"/>
      <c r="I79" s="17"/>
      <c r="J79" s="18"/>
    </row>
    <row r="80" spans="1:10" ht="22.75" customHeight="1">
      <c r="A80" s="35"/>
      <c r="B80" s="17"/>
      <c r="C80" s="17"/>
      <c r="D80" s="17"/>
      <c r="E80" s="17"/>
      <c r="F80" s="17"/>
      <c r="G80" s="38"/>
      <c r="H80" s="17"/>
      <c r="I80" s="17"/>
      <c r="J80" s="18"/>
    </row>
    <row r="81" spans="1:10">
      <c r="A81" s="35"/>
      <c r="B81" s="17"/>
      <c r="C81" s="17"/>
      <c r="D81" s="17"/>
      <c r="E81" s="17"/>
      <c r="F81" s="17"/>
      <c r="G81" s="38"/>
      <c r="H81" s="17"/>
      <c r="I81" s="17"/>
      <c r="J81" s="18"/>
    </row>
    <row r="82" spans="1:10">
      <c r="A82" s="35"/>
      <c r="B82" s="17"/>
      <c r="C82" s="17"/>
      <c r="D82" s="17"/>
      <c r="E82" s="17"/>
      <c r="F82" s="17"/>
      <c r="G82" s="38"/>
      <c r="H82" s="17"/>
      <c r="I82" s="17"/>
      <c r="J82" s="18"/>
    </row>
    <row r="83" spans="1:10">
      <c r="A83" s="35"/>
      <c r="B83" s="17"/>
      <c r="C83" s="17"/>
      <c r="D83" s="17"/>
      <c r="E83" s="17"/>
      <c r="F83" s="17"/>
      <c r="G83" s="38"/>
      <c r="H83" s="17"/>
      <c r="I83" s="17"/>
      <c r="J83" s="18"/>
    </row>
    <row r="84" spans="1:10">
      <c r="A84" s="36"/>
      <c r="B84" s="20"/>
      <c r="C84" s="20"/>
      <c r="D84" s="20"/>
      <c r="E84" s="20"/>
      <c r="F84" s="20"/>
      <c r="G84" s="39"/>
      <c r="H84" s="20"/>
      <c r="I84" s="20"/>
      <c r="J84" s="21"/>
    </row>
  </sheetData>
  <mergeCells count="2">
    <mergeCell ref="A1:J1"/>
    <mergeCell ref="A2:P2"/>
  </mergeCells>
  <dataValidations count="4">
    <dataValidation type="list" sqref="B5:B84" xr:uid="{00000000-0002-0000-0900-000000000000}">
      <formula1>"Unit 1,Unit 2,Unit 3,Unit 4"</formula1>
    </dataValidation>
    <dataValidation type="list" sqref="H5:H84" xr:uid="{00000000-0002-0000-0900-000001000000}">
      <formula1>"Yes,No"</formula1>
    </dataValidation>
    <dataValidation type="list" sqref="I5:I84" xr:uid="{00000000-0002-0000-0900-000002000000}">
      <formula1>"A1,A2,Both"</formula1>
    </dataValidation>
    <dataValidation type="list" sqref="J5:J84" xr:uid="{00000000-0002-0000-0900-000003000000}">
      <formula1>"Open,Retest scheduled,Retested,Closed"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"/>
  <sheetViews>
    <sheetView workbookViewId="0">
      <selection sqref="A1:L1"/>
    </sheetView>
  </sheetViews>
  <sheetFormatPr baseColWidth="10" defaultColWidth="8.83203125" defaultRowHeight="14"/>
  <cols>
    <col min="1" max="1" width="10" customWidth="1"/>
    <col min="2" max="3" width="12" customWidth="1"/>
    <col min="4" max="5" width="11" customWidth="1"/>
    <col min="6" max="6" width="12" customWidth="1"/>
    <col min="7" max="8" width="14" customWidth="1"/>
    <col min="9" max="11" width="11" customWidth="1"/>
    <col min="12" max="12" width="24" customWidth="1"/>
  </cols>
  <sheetData>
    <row r="1" spans="1:16" ht="45.5" customHeight="1">
      <c r="A1" s="61" t="s">
        <v>313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6" ht="250.5" customHeight="1">
      <c r="A2" s="55" t="s">
        <v>314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16" ht="45.5" customHeight="1">
      <c r="A4" s="43" t="s">
        <v>58</v>
      </c>
      <c r="B4" s="44" t="s">
        <v>315</v>
      </c>
      <c r="C4" s="44" t="s">
        <v>316</v>
      </c>
      <c r="D4" s="44" t="s">
        <v>317</v>
      </c>
      <c r="E4" s="44" t="s">
        <v>318</v>
      </c>
      <c r="F4" s="44" t="s">
        <v>319</v>
      </c>
      <c r="G4" s="44" t="s">
        <v>320</v>
      </c>
      <c r="H4" s="44" t="s">
        <v>321</v>
      </c>
      <c r="I4" s="44" t="s">
        <v>322</v>
      </c>
      <c r="J4" s="44" t="s">
        <v>323</v>
      </c>
      <c r="K4" s="44" t="s">
        <v>324</v>
      </c>
      <c r="L4" s="45" t="s">
        <v>325</v>
      </c>
    </row>
    <row r="5" spans="1:16" ht="22.75" customHeight="1">
      <c r="A5" s="13" t="s">
        <v>85</v>
      </c>
      <c r="B5" s="46">
        <f>SUM('Unit 1 Tracker'!Z5:Z13)/60</f>
        <v>16.25</v>
      </c>
      <c r="C5" s="46">
        <f>SUM('Unit 1 Tracker'!AB5:AB13)/60</f>
        <v>14.90625</v>
      </c>
      <c r="D5" s="46">
        <f>SUMIFS('Session Log'!H:H,'Session Log'!C:C,A5)/60</f>
        <v>0</v>
      </c>
      <c r="E5" s="22">
        <f>AVERAGE('Unit 1 Tracker'!AA5:AA13)</f>
        <v>9.7222222222222224E-2</v>
      </c>
      <c r="F5" s="14">
        <f>AVERAGE('Unit 1 Tracker'!I5:I13)</f>
        <v>1</v>
      </c>
      <c r="G5" s="22">
        <f>COUNTIFS('Graph Tracker'!B:B,A5,'Graph Tracker'!K:K,"Yes")/COUNTIF('Graph Tracker'!B:B,A5)</f>
        <v>0</v>
      </c>
      <c r="H5" s="22">
        <f>COUNTIFS('Tutorial Tracker'!B:B,A5,'Tutorial Tracker'!G:G,"Yes")/COUNTIF('Tutorial Tracker'!B:B,A5)</f>
        <v>0</v>
      </c>
      <c r="I5" s="22">
        <f>COUNTIF('Unit 1 Tracker'!R5:R13,"Yes")/ROWS('Unit 1 Tracker'!R5:R13)</f>
        <v>0</v>
      </c>
      <c r="J5" s="22">
        <f>AVERAGE(E5,H5,I5,MIN(F5/5,1),G5)</f>
        <v>5.9444444444444446E-2</v>
      </c>
      <c r="K5" s="22" t="str">
        <f>IF(COUNTIF('Unit 1 Tracker'!G5:G13,"A2")+COUNTIF('Unit 1 Tracker'!G5:G13,"Both")=0,"",AVERAGE(E5,I5,MIN(F5/5,1)))</f>
        <v/>
      </c>
      <c r="L5" s="15" t="str">
        <f>IF(J5&lt;0.35,"Build notes + recall",IF(J5&lt;0.65,"Push tutorials + graphs","Shift to mixed exam drills"))</f>
        <v>Build notes + recall</v>
      </c>
    </row>
    <row r="6" spans="1:16" ht="22.75" customHeight="1">
      <c r="A6" s="16" t="s">
        <v>114</v>
      </c>
      <c r="B6" s="47">
        <f>SUM('Unit 2 Tracker'!Z5:Z13)/60</f>
        <v>16.666666666666668</v>
      </c>
      <c r="C6" s="47">
        <f>SUM('Unit 2 Tracker'!AB5:AB13)/60</f>
        <v>16.666666666666668</v>
      </c>
      <c r="D6" s="47">
        <f>SUMIFS('Session Log'!H:H,'Session Log'!C:C,A6)/60</f>
        <v>0</v>
      </c>
      <c r="E6" s="23">
        <f>AVERAGE('Unit 2 Tracker'!AA5:AA13)</f>
        <v>0</v>
      </c>
      <c r="F6" s="17">
        <f>AVERAGE('Unit 2 Tracker'!I5:I13)</f>
        <v>1</v>
      </c>
      <c r="G6" s="23">
        <f>COUNTIFS('Graph Tracker'!B:B,A6,'Graph Tracker'!K:K,"Yes")/COUNTIF('Graph Tracker'!B:B,A6)</f>
        <v>0</v>
      </c>
      <c r="H6" s="23">
        <f>COUNTIFS('Tutorial Tracker'!B:B,A6,'Tutorial Tracker'!G:G,"Yes")/COUNTIF('Tutorial Tracker'!B:B,A6)</f>
        <v>0</v>
      </c>
      <c r="I6" s="23">
        <f>COUNTIF('Unit 2 Tracker'!R5:R13,"Yes")/ROWS('Unit 2 Tracker'!R5:R13)</f>
        <v>0</v>
      </c>
      <c r="J6" s="23">
        <f>AVERAGE(E6,H6,I6,MIN(F6/5,1),G6)</f>
        <v>0.04</v>
      </c>
      <c r="K6" s="23" t="str">
        <f>IF(COUNTIF('Unit 2 Tracker'!G5:G13,"A2")+COUNTIF('Unit 2 Tracker'!G5:G13,"Both")=0,"",AVERAGE(E6,I6,MIN(F6/5,1)))</f>
        <v/>
      </c>
      <c r="L6" s="18" t="str">
        <f>IF(J6&lt;0.35,"Build notes + recall",IF(J6&lt;0.65,"Push tutorials + graphs","Shift to mixed exam drills"))</f>
        <v>Build notes + recall</v>
      </c>
    </row>
    <row r="7" spans="1:16" ht="22.75" customHeight="1">
      <c r="A7" s="16" t="s">
        <v>143</v>
      </c>
      <c r="B7" s="47">
        <f>SUM('Unit 3 Tracker'!Z5:Z12)/60</f>
        <v>16.333333333333332</v>
      </c>
      <c r="C7" s="47">
        <f>SUM('Unit 3 Tracker'!AB5:AB12)/60</f>
        <v>16.333333333333332</v>
      </c>
      <c r="D7" s="47">
        <f>SUMIFS('Session Log'!H:H,'Session Log'!C:C,A7)/60</f>
        <v>0</v>
      </c>
      <c r="E7" s="23">
        <f>AVERAGE('Unit 3 Tracker'!AA5:AA12)</f>
        <v>0</v>
      </c>
      <c r="F7" s="17">
        <f>AVERAGE('Unit 3 Tracker'!I5:I12)</f>
        <v>1</v>
      </c>
      <c r="G7" s="23">
        <f>COUNTIFS('Graph Tracker'!B:B,A7,'Graph Tracker'!K:K,"Yes")/COUNTIF('Graph Tracker'!B:B,A7)</f>
        <v>0</v>
      </c>
      <c r="H7" s="23">
        <f>COUNTIFS('Tutorial Tracker'!B:B,A7,'Tutorial Tracker'!G:G,"Yes")/COUNTIF('Tutorial Tracker'!B:B,A7)</f>
        <v>0</v>
      </c>
      <c r="I7" s="23">
        <f>COUNTIF('Unit 3 Tracker'!R5:R12,"Yes")/ROWS('Unit 3 Tracker'!R5:R12)</f>
        <v>0</v>
      </c>
      <c r="J7" s="23">
        <f>AVERAGE(E7,H7,I7,MIN(F7/5,1),G7)</f>
        <v>0.04</v>
      </c>
      <c r="K7" s="23" t="str">
        <f>IF(COUNTIF('Unit 3 Tracker'!G5:G12,"A2")+COUNTIF('Unit 3 Tracker'!G5:G12,"Both")=0,"",AVERAGE(E7,I7,MIN(F7/5,1)))</f>
        <v/>
      </c>
      <c r="L7" s="18" t="str">
        <f>IF(J7&lt;0.35,"Build notes + recall",IF(J7&lt;0.65,"Push tutorials + graphs","Shift to mixed exam drills"))</f>
        <v>Build notes + recall</v>
      </c>
    </row>
    <row r="8" spans="1:16" ht="22.75" customHeight="1">
      <c r="A8" s="19" t="s">
        <v>169</v>
      </c>
      <c r="B8" s="48">
        <f>SUM('Unit 4 Tracker'!Z5:Z15)/60</f>
        <v>23</v>
      </c>
      <c r="C8" s="48">
        <f>SUM('Unit 4 Tracker'!AB5:AB15)/60</f>
        <v>23</v>
      </c>
      <c r="D8" s="48">
        <f>SUMIFS('Session Log'!H:H,'Session Log'!C:C,A8)/60</f>
        <v>0</v>
      </c>
      <c r="E8" s="24">
        <f>AVERAGE('Unit 4 Tracker'!AA5:AA15)</f>
        <v>0</v>
      </c>
      <c r="F8" s="20">
        <f>AVERAGE('Unit 4 Tracker'!I5:I15)</f>
        <v>1</v>
      </c>
      <c r="G8" s="24">
        <f>COUNTIFS('Graph Tracker'!B:B,A8,'Graph Tracker'!K:K,"Yes")/COUNTIF('Graph Tracker'!B:B,A8)</f>
        <v>0</v>
      </c>
      <c r="H8" s="24">
        <f>COUNTIFS('Tutorial Tracker'!B:B,A8,'Tutorial Tracker'!G:G,"Yes")/COUNTIF('Tutorial Tracker'!B:B,A8)</f>
        <v>0</v>
      </c>
      <c r="I8" s="24">
        <f>COUNTIF('Unit 4 Tracker'!R5:R15,"Yes")/ROWS('Unit 4 Tracker'!R5:R15)</f>
        <v>0</v>
      </c>
      <c r="J8" s="24">
        <f>AVERAGE(E8,H8,I8,MIN(F8/5,1),G8)</f>
        <v>0.04</v>
      </c>
      <c r="K8" s="24" t="str">
        <f>IF(COUNTIF('Unit 4 Tracker'!G5:G15,"A2")+COUNTIF('Unit 4 Tracker'!G5:G15,"Both")=0,"",AVERAGE(E8,I8,MIN(F8/5,1)))</f>
        <v/>
      </c>
      <c r="L8" s="21" t="str">
        <f>IF(J8&lt;0.35,"Build notes + recall",IF(J8&lt;0.65,"Push tutorials + graphs","Shift to mixed exam drills"))</f>
        <v>Build notes + recall</v>
      </c>
    </row>
  </sheetData>
  <mergeCells count="2">
    <mergeCell ref="A1:L1"/>
    <mergeCell ref="A2:P2"/>
  </mergeCells>
  <conditionalFormatting sqref="E5:K8">
    <cfRule type="colorScale" priority="1">
      <colorScale>
        <cfvo type="min"/>
        <cfvo type="percentile" val="50"/>
        <cfvo type="max"/>
        <color rgb="FFFFEDEE"/>
        <color rgb="FFFFF9E8"/>
        <color rgb="FFEAF9F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4"/>
  <sheetViews>
    <sheetView workbookViewId="0">
      <selection sqref="A1:H1"/>
    </sheetView>
  </sheetViews>
  <sheetFormatPr baseColWidth="10" defaultColWidth="8.83203125" defaultRowHeight="14"/>
  <cols>
    <col min="1" max="2" width="10" customWidth="1"/>
    <col min="3" max="3" width="36" customWidth="1"/>
    <col min="4" max="5" width="12" customWidth="1"/>
    <col min="6" max="6" width="10" customWidth="1"/>
    <col min="7" max="7" width="16" customWidth="1"/>
    <col min="8" max="8" width="28" customWidth="1"/>
  </cols>
  <sheetData>
    <row r="1" spans="1:16" ht="45.5" customHeight="1">
      <c r="A1" s="62" t="s">
        <v>326</v>
      </c>
      <c r="B1" s="62"/>
      <c r="C1" s="62"/>
      <c r="D1" s="62"/>
      <c r="E1" s="62"/>
      <c r="F1" s="62"/>
      <c r="G1" s="62"/>
      <c r="H1" s="62"/>
    </row>
    <row r="2" spans="1:16" ht="364.5" customHeight="1">
      <c r="A2" s="55" t="s">
        <v>327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16" ht="45.5" customHeight="1">
      <c r="A4" s="49" t="s">
        <v>57</v>
      </c>
      <c r="B4" s="50" t="s">
        <v>58</v>
      </c>
      <c r="C4" s="50" t="s">
        <v>59</v>
      </c>
      <c r="D4" s="50" t="s">
        <v>4</v>
      </c>
      <c r="E4" s="50" t="s">
        <v>328</v>
      </c>
      <c r="F4" s="50" t="s">
        <v>329</v>
      </c>
      <c r="G4" s="50" t="s">
        <v>330</v>
      </c>
      <c r="H4" s="51" t="s">
        <v>82</v>
      </c>
    </row>
    <row r="5" spans="1:16" ht="68.25" customHeight="1">
      <c r="A5" s="13" t="str">
        <f>'Unit 4 Tracker'!A14</f>
        <v>U4-10</v>
      </c>
      <c r="B5" s="14" t="str">
        <f>'Unit 4 Tracker'!B14</f>
        <v>Unit 4</v>
      </c>
      <c r="C5" s="14" t="str">
        <f>'Unit 4 Tracker'!C14</f>
        <v>Ultimatum game, experiments, expected payoffs, and competition</v>
      </c>
      <c r="D5" s="14" t="str">
        <f>'Unit 4 Tracker'!H14</f>
        <v>Critical</v>
      </c>
      <c r="E5" s="22">
        <f>'Unit 4 Tracker'!AA14</f>
        <v>0</v>
      </c>
      <c r="F5" s="46">
        <f>'Unit 4 Tracker'!Z14/60</f>
        <v>2.5833333333333335</v>
      </c>
      <c r="G5" s="14" t="s">
        <v>331</v>
      </c>
      <c r="H5" s="15" t="str">
        <f>'Unit 4 Tracker'!AC14</f>
        <v>Sequential solve first, then experimental results</v>
      </c>
    </row>
    <row r="6" spans="1:16" ht="68.25" customHeight="1">
      <c r="A6" s="16" t="str">
        <f>'Unit 4 Tracker'!A15</f>
        <v>U4-11</v>
      </c>
      <c r="B6" s="17" t="str">
        <f>'Unit 4 Tracker'!B15</f>
        <v>Unit 4</v>
      </c>
      <c r="C6" s="17" t="str">
        <f>'Unit 4 Tracker'!C15</f>
        <v>Coordination games, hawk–dove, and climate-change modelling</v>
      </c>
      <c r="D6" s="17" t="str">
        <f>'Unit 4 Tracker'!H15</f>
        <v>Critical</v>
      </c>
      <c r="E6" s="23">
        <f>'Unit 4 Tracker'!AA15</f>
        <v>0</v>
      </c>
      <c r="F6" s="47">
        <f>'Unit 4 Tracker'!Z15/60</f>
        <v>2.5833333333333335</v>
      </c>
      <c r="G6" s="17" t="s">
        <v>332</v>
      </c>
      <c r="H6" s="18" t="str">
        <f>'Unit 4 Tracker'!AC15</f>
        <v>Distinguish PD vs coordination vs hawk–dove</v>
      </c>
    </row>
    <row r="7" spans="1:16" ht="45.5" customHeight="1">
      <c r="A7" s="16" t="str">
        <f>'Unit 3 Tracker'!A9</f>
        <v>U3-05</v>
      </c>
      <c r="B7" s="17" t="str">
        <f>'Unit 3 Tracker'!B9</f>
        <v>Unit 3</v>
      </c>
      <c r="C7" s="17" t="str">
        <f>'Unit 3 Tracker'!C9</f>
        <v>Price effect, income effect, and substitution effect for goods</v>
      </c>
      <c r="D7" s="17" t="str">
        <f>'Unit 3 Tracker'!H9</f>
        <v>Critical</v>
      </c>
      <c r="E7" s="23">
        <f>'Unit 3 Tracker'!AA9</f>
        <v>0</v>
      </c>
      <c r="F7" s="47">
        <f>'Unit 3 Tracker'!Z9/60</f>
        <v>2.5</v>
      </c>
      <c r="G7" s="17" t="s">
        <v>333</v>
      </c>
      <c r="H7" s="18" t="str">
        <f>'Unit 3 Tracker'!AC9</f>
        <v>Be able to separate the two effects cleanly</v>
      </c>
    </row>
    <row r="8" spans="1:16" ht="45.5" customHeight="1">
      <c r="A8" s="16" t="str">
        <f>'Unit 1 Tracker'!A11</f>
        <v>U1-07</v>
      </c>
      <c r="B8" s="17" t="str">
        <f>'Unit 1 Tracker'!B11</f>
        <v>Unit 1</v>
      </c>
      <c r="C8" s="17" t="str">
        <f>'Unit 1 Tracker'!C11</f>
        <v>Malthusian trap, subsistence, and technology shock</v>
      </c>
      <c r="D8" s="17" t="str">
        <f>'Unit 1 Tracker'!H11</f>
        <v>Critical</v>
      </c>
      <c r="E8" s="23">
        <f>'Unit 1 Tracker'!AA11</f>
        <v>0</v>
      </c>
      <c r="F8" s="47">
        <f>'Unit 1 Tracker'!Z11/60</f>
        <v>2.3333333333333335</v>
      </c>
      <c r="G8" s="17" t="s">
        <v>334</v>
      </c>
      <c r="H8" s="18" t="str">
        <f>'Unit 1 Tracker'!AC11</f>
        <v>Practise the four-step mechanism aloud</v>
      </c>
    </row>
    <row r="9" spans="1:16" ht="45.5" customHeight="1">
      <c r="A9" s="16" t="str">
        <f>'Unit 3 Tracker'!A6</f>
        <v>U3-02</v>
      </c>
      <c r="B9" s="17" t="str">
        <f>'Unit 3 Tracker'!B6</f>
        <v>Unit 3</v>
      </c>
      <c r="C9" s="17" t="str">
        <f>'Unit 3 Tracker'!C6</f>
        <v>Preferences, utility, indifference curves, and diminishing MRS</v>
      </c>
      <c r="D9" s="17" t="str">
        <f>'Unit 3 Tracker'!H6</f>
        <v>Critical</v>
      </c>
      <c r="E9" s="23">
        <f>'Unit 3 Tracker'!AA6</f>
        <v>0</v>
      </c>
      <c r="F9" s="47">
        <f>'Unit 3 Tracker'!Z6/60</f>
        <v>2.3333333333333335</v>
      </c>
      <c r="G9" s="17" t="s">
        <v>335</v>
      </c>
      <c r="H9" s="18" t="str">
        <f>'Unit 3 Tracker'!AC6</f>
        <v>Do not let ICs shift when budget changes</v>
      </c>
    </row>
    <row r="10" spans="1:16" ht="45.5" customHeight="1">
      <c r="A10" s="16" t="str">
        <f>'Unit 3 Tracker'!A7</f>
        <v>U3-03</v>
      </c>
      <c r="B10" s="17" t="str">
        <f>'Unit 3 Tracker'!B7</f>
        <v>Unit 3</v>
      </c>
      <c r="C10" s="17" t="str">
        <f>'Unit 3 Tracker'!C7</f>
        <v>Budget constraints, feasible sets, MRT, and relative prices</v>
      </c>
      <c r="D10" s="17" t="str">
        <f>'Unit 3 Tracker'!H7</f>
        <v>Critical</v>
      </c>
      <c r="E10" s="23">
        <f>'Unit 3 Tracker'!AA7</f>
        <v>0</v>
      </c>
      <c r="F10" s="47">
        <f>'Unit 3 Tracker'!Z7/60</f>
        <v>2.3333333333333335</v>
      </c>
      <c r="G10" s="17" t="s">
        <v>336</v>
      </c>
      <c r="H10" s="18" t="str">
        <f>'Unit 3 Tracker'!AC7</f>
        <v>Write the line equation from scratch</v>
      </c>
    </row>
    <row r="11" spans="1:16" ht="45.5" customHeight="1">
      <c r="A11" s="16" t="str">
        <f>'Unit 2 Tracker'!A10</f>
        <v>U2-06</v>
      </c>
      <c r="B11" s="17" t="str">
        <f>'Unit 2 Tracker'!B10</f>
        <v>Unit 2</v>
      </c>
      <c r="C11" s="17" t="str">
        <f>'Unit 2 Tracker'!C10</f>
        <v>Isocost logic and cost-minimizing technology choice</v>
      </c>
      <c r="D11" s="17" t="str">
        <f>'Unit 2 Tracker'!H10</f>
        <v>Critical</v>
      </c>
      <c r="E11" s="23">
        <f>'Unit 2 Tracker'!AA10</f>
        <v>0</v>
      </c>
      <c r="F11" s="47">
        <f>'Unit 2 Tracker'!Z10/60</f>
        <v>2.25</v>
      </c>
      <c r="G11" s="17" t="s">
        <v>337</v>
      </c>
      <c r="H11" s="18" t="str">
        <f>'Unit 2 Tracker'!AC10</f>
        <v>Use wage/capital-price changes carefully</v>
      </c>
    </row>
    <row r="12" spans="1:16" ht="45.5" customHeight="1">
      <c r="A12" s="16" t="str">
        <f>'Unit 2 Tracker'!A12</f>
        <v>U2-08</v>
      </c>
      <c r="B12" s="17" t="str">
        <f>'Unit 2 Tracker'!B12</f>
        <v>Unit 2</v>
      </c>
      <c r="C12" s="17" t="str">
        <f>'Unit 2 Tracker'!C12</f>
        <v>Cheap coal, expensive labour, and the Industrial Revolution</v>
      </c>
      <c r="D12" s="17" t="str">
        <f>'Unit 2 Tracker'!H12</f>
        <v>Critical</v>
      </c>
      <c r="E12" s="23">
        <f>'Unit 2 Tracker'!AA12</f>
        <v>0</v>
      </c>
      <c r="F12" s="47">
        <f>'Unit 2 Tracker'!Z12/60</f>
        <v>2.25</v>
      </c>
      <c r="G12" s="17" t="s">
        <v>338</v>
      </c>
      <c r="H12" s="18" t="str">
        <f>'Unit 2 Tracker'!AC12</f>
        <v>Explain incentives, not just inventions</v>
      </c>
    </row>
    <row r="13" spans="1:16" ht="68.25" customHeight="1">
      <c r="A13" s="16" t="str">
        <f>'Unit 3 Tracker'!A11</f>
        <v>U3-07</v>
      </c>
      <c r="B13" s="17" t="str">
        <f>'Unit 3 Tracker'!B11</f>
        <v>Unit 3</v>
      </c>
      <c r="C13" s="17" t="str">
        <f>'Unit 3 Tracker'!C11</f>
        <v>Wage changes: income vs substitution effects on hours worked</v>
      </c>
      <c r="D13" s="17" t="str">
        <f>'Unit 3 Tracker'!H11</f>
        <v>Critical</v>
      </c>
      <c r="E13" s="23">
        <f>'Unit 3 Tracker'!AA11</f>
        <v>0</v>
      </c>
      <c r="F13" s="47">
        <f>'Unit 3 Tracker'!Z11/60</f>
        <v>2.25</v>
      </c>
      <c r="G13" s="17" t="s">
        <v>339</v>
      </c>
      <c r="H13" s="18" t="str">
        <f>'Unit 3 Tracker'!AC11</f>
        <v>Dominant effect depends on behaviour</v>
      </c>
    </row>
    <row r="14" spans="1:16" ht="45.5" customHeight="1">
      <c r="A14" s="16" t="str">
        <f>'Unit 1 Tracker'!A12</f>
        <v>U1-08</v>
      </c>
      <c r="B14" s="17" t="str">
        <f>'Unit 1 Tracker'!B12</f>
        <v>Unit 1</v>
      </c>
      <c r="C14" s="17" t="str">
        <f>'Unit 1 Tracker'!C12</f>
        <v>Capitalism, institutions, and structural transformation</v>
      </c>
      <c r="D14" s="17" t="str">
        <f>'Unit 1 Tracker'!H12</f>
        <v>Critical</v>
      </c>
      <c r="E14" s="23">
        <f>'Unit 1 Tracker'!AA12</f>
        <v>0</v>
      </c>
      <c r="F14" s="47">
        <f>'Unit 1 Tracker'!Z12/60</f>
        <v>2.1666666666666665</v>
      </c>
      <c r="G14" s="17" t="s">
        <v>340</v>
      </c>
      <c r="H14" s="18" t="str">
        <f>'Unit 1 Tracker'!AC12</f>
        <v>Use private property + firms + markets</v>
      </c>
    </row>
    <row r="15" spans="1:16" ht="45.5" customHeight="1">
      <c r="A15" s="16" t="str">
        <f>'Unit 4 Tracker'!A7</f>
        <v>U4-03</v>
      </c>
      <c r="B15" s="17" t="str">
        <f>'Unit 4 Tracker'!B7</f>
        <v>Unit 4</v>
      </c>
      <c r="C15" s="17" t="str">
        <f>'Unit 4 Tracker'!C7</f>
        <v>Best responses, invisible-hand games, and Nash equilibrium</v>
      </c>
      <c r="D15" s="17" t="str">
        <f>'Unit 4 Tracker'!H7</f>
        <v>Critical</v>
      </c>
      <c r="E15" s="23">
        <f>'Unit 4 Tracker'!AA7</f>
        <v>0</v>
      </c>
      <c r="F15" s="47">
        <f>'Unit 4 Tracker'!Z7/60</f>
        <v>2.1666666666666665</v>
      </c>
      <c r="G15" s="17" t="s">
        <v>341</v>
      </c>
      <c r="H15" s="18" t="str">
        <f>'Unit 4 Tracker'!AC7</f>
        <v>Best response first, equilibrium second</v>
      </c>
    </row>
    <row r="16" spans="1:16" ht="45.5" customHeight="1">
      <c r="A16" s="16" t="str">
        <f>'Unit 4 Tracker'!A8</f>
        <v>U4-04</v>
      </c>
      <c r="B16" s="17" t="str">
        <f>'Unit 4 Tracker'!B8</f>
        <v>Unit 4</v>
      </c>
      <c r="C16" s="17" t="str">
        <f>'Unit 4 Tracker'!C8</f>
        <v>Dominant strategies and prisoners' dilemmas</v>
      </c>
      <c r="D16" s="17" t="str">
        <f>'Unit 4 Tracker'!H8</f>
        <v>Critical</v>
      </c>
      <c r="E16" s="23">
        <f>'Unit 4 Tracker'!AA8</f>
        <v>0</v>
      </c>
      <c r="F16" s="47">
        <f>'Unit 4 Tracker'!Z8/60</f>
        <v>2.1666666666666665</v>
      </c>
      <c r="G16" s="17" t="s">
        <v>342</v>
      </c>
      <c r="H16" s="18" t="str">
        <f>'Unit 4 Tracker'!AC8</f>
        <v>Show why stable can still be socially bad</v>
      </c>
    </row>
    <row r="17" spans="1:8" ht="68.25" customHeight="1">
      <c r="A17" s="16" t="str">
        <f>'Unit 2 Tracker'!A8</f>
        <v>U2-04</v>
      </c>
      <c r="B17" s="17" t="str">
        <f>'Unit 2 Tracker'!B8</f>
        <v>Unit 2</v>
      </c>
      <c r="C17" s="17" t="str">
        <f>'Unit 2 Tracker'!C8</f>
        <v>Comparative advantage, specialization, and division of labour</v>
      </c>
      <c r="D17" s="17" t="str">
        <f>'Unit 2 Tracker'!H8</f>
        <v>Critical</v>
      </c>
      <c r="E17" s="23">
        <f>'Unit 2 Tracker'!AA8</f>
        <v>0</v>
      </c>
      <c r="F17" s="47">
        <f>'Unit 2 Tracker'!Z8/60</f>
        <v>2.0833333333333335</v>
      </c>
      <c r="G17" s="17" t="s">
        <v>343</v>
      </c>
      <c r="H17" s="18" t="str">
        <f>'Unit 2 Tracker'!AC8</f>
        <v>Always talk in terms of opportunity cost</v>
      </c>
    </row>
    <row r="18" spans="1:8" ht="68.25" customHeight="1">
      <c r="A18" s="16" t="str">
        <f>'Unit 2 Tracker'!A6</f>
        <v>U2-02</v>
      </c>
      <c r="B18" s="17" t="str">
        <f>'Unit 2 Tracker'!B6</f>
        <v>Unit 2</v>
      </c>
      <c r="C18" s="17" t="str">
        <f>'Unit 2 Tracker'!C6</f>
        <v>Opportunity cost, economic cost, reservation option, and economic rent</v>
      </c>
      <c r="D18" s="17" t="str">
        <f>'Unit 2 Tracker'!H6</f>
        <v>Critical</v>
      </c>
      <c r="E18" s="23">
        <f>'Unit 2 Tracker'!AA6</f>
        <v>0</v>
      </c>
      <c r="F18" s="47">
        <f>'Unit 2 Tracker'!Z6/60</f>
        <v>2</v>
      </c>
      <c r="G18" s="17" t="s">
        <v>344</v>
      </c>
      <c r="H18" s="18" t="str">
        <f>'Unit 2 Tracker'!AC6</f>
        <v>Practise the Sipho/concert-style logic</v>
      </c>
    </row>
    <row r="19" spans="1:8" ht="45.5" customHeight="1">
      <c r="A19" s="16" t="str">
        <f>'Unit 1 Tracker'!A5</f>
        <v>U1-01</v>
      </c>
      <c r="B19" s="17" t="str">
        <f>'Unit 1 Tracker'!B5</f>
        <v>Unit 1</v>
      </c>
      <c r="C19" s="17" t="str">
        <f>'Unit 1 Tracker'!C5</f>
        <v>GDP, GDP per capita, and history's hockey stick</v>
      </c>
      <c r="D19" s="17" t="str">
        <f>'Unit 1 Tracker'!H5</f>
        <v>Critical</v>
      </c>
      <c r="E19" s="23">
        <f>'Unit 1 Tracker'!AA5</f>
        <v>0.25</v>
      </c>
      <c r="F19" s="47">
        <f>'Unit 1 Tracker'!Z5/60</f>
        <v>1.9166666666666667</v>
      </c>
      <c r="G19" s="17" t="s">
        <v>345</v>
      </c>
      <c r="H19" s="18" t="str">
        <f>'Unit 1 Tracker'!AC5</f>
        <v>Start with definitions + hockey-stick graph</v>
      </c>
    </row>
    <row r="20" spans="1:8" ht="68.25" customHeight="1">
      <c r="A20" s="16" t="str">
        <f>'Unit 1 Tracker'!A10</f>
        <v>U1-06</v>
      </c>
      <c r="B20" s="17" t="str">
        <f>'Unit 1 Tracker'!B10</f>
        <v>Unit 1</v>
      </c>
      <c r="C20" s="17" t="str">
        <f>'Unit 1 Tracker'!C10</f>
        <v>Production function and diminishing average product of labour</v>
      </c>
      <c r="D20" s="17" t="str">
        <f>'Unit 1 Tracker'!H10</f>
        <v>Critical</v>
      </c>
      <c r="E20" s="23">
        <f>'Unit 1 Tracker'!AA10</f>
        <v>0</v>
      </c>
      <c r="F20" s="47">
        <f>'Unit 1 Tracker'!Z10/60</f>
        <v>1.9166666666666667</v>
      </c>
      <c r="G20" s="17" t="s">
        <v>346</v>
      </c>
      <c r="H20" s="18" t="str">
        <f>'Unit 1 Tracker'!AC10</f>
        <v>Separate total output from output per worker</v>
      </c>
    </row>
    <row r="21" spans="1:8" ht="45.5" customHeight="1">
      <c r="A21" s="16" t="str">
        <f>'Unit 3 Tracker'!A8</f>
        <v>U3-04</v>
      </c>
      <c r="B21" s="17" t="str">
        <f>'Unit 3 Tracker'!B8</f>
        <v>Unit 3</v>
      </c>
      <c r="C21" s="17" t="str">
        <f>'Unit 3 Tracker'!C8</f>
        <v>Optimal choice and MRS = MRT</v>
      </c>
      <c r="D21" s="17" t="str">
        <f>'Unit 3 Tracker'!H8</f>
        <v>Critical</v>
      </c>
      <c r="E21" s="23">
        <f>'Unit 3 Tracker'!AA8</f>
        <v>0</v>
      </c>
      <c r="F21" s="47">
        <f>'Unit 3 Tracker'!Z8/60</f>
        <v>1.9166666666666667</v>
      </c>
      <c r="G21" s="17" t="s">
        <v>347</v>
      </c>
      <c r="H21" s="18" t="str">
        <f>'Unit 3 Tracker'!AC8</f>
        <v>Explain highest attainable IC</v>
      </c>
    </row>
    <row r="22" spans="1:8" ht="45.5" customHeight="1">
      <c r="A22" s="16" t="str">
        <f>'Unit 4 Tracker'!A6</f>
        <v>U4-02</v>
      </c>
      <c r="B22" s="17" t="str">
        <f>'Unit 4 Tracker'!B6</f>
        <v>Unit 4</v>
      </c>
      <c r="C22" s="17" t="str">
        <f>'Unit 4 Tracker'!C6</f>
        <v>Game theory basics: players, strategies, payoffs, information</v>
      </c>
      <c r="D22" s="17" t="str">
        <f>'Unit 4 Tracker'!H6</f>
        <v>Critical</v>
      </c>
      <c r="E22" s="23">
        <f>'Unit 4 Tracker'!AA6</f>
        <v>0</v>
      </c>
      <c r="F22" s="47">
        <f>'Unit 4 Tracker'!Z6/60</f>
        <v>1.8333333333333333</v>
      </c>
      <c r="G22" s="17" t="s">
        <v>348</v>
      </c>
      <c r="H22" s="18" t="str">
        <f>'Unit 4 Tracker'!AC6</f>
        <v>Read matrices carefully before solving</v>
      </c>
    </row>
    <row r="23" spans="1:8" ht="68.25" customHeight="1">
      <c r="A23" s="16" t="str">
        <f>'Unit 4 Tracker'!A5</f>
        <v>U4-01</v>
      </c>
      <c r="B23" s="17" t="str">
        <f>'Unit 4 Tracker'!B5</f>
        <v>Unit 4</v>
      </c>
      <c r="C23" s="17" t="str">
        <f>'Unit 4 Tracker'!C5</f>
        <v>Climate negotiations, social dilemmas, and tragedy of the commons</v>
      </c>
      <c r="D23" s="17" t="str">
        <f>'Unit 4 Tracker'!H5</f>
        <v>Critical</v>
      </c>
      <c r="E23" s="23">
        <f>'Unit 4 Tracker'!AA5</f>
        <v>0</v>
      </c>
      <c r="F23" s="47">
        <f>'Unit 4 Tracker'!Z5/60</f>
        <v>1.6666666666666667</v>
      </c>
      <c r="G23" s="17" t="s">
        <v>349</v>
      </c>
      <c r="H23" s="18" t="str">
        <f>'Unit 4 Tracker'!AC5</f>
        <v>Start with the definition of a social dilemma</v>
      </c>
    </row>
    <row r="24" spans="1:8" ht="45.5" customHeight="1">
      <c r="A24" s="19" t="str">
        <f>'Unit 1 Tracker'!A13</f>
        <v>U1-09</v>
      </c>
      <c r="B24" s="20" t="str">
        <f>'Unit 1 Tracker'!B13</f>
        <v>Unit 1</v>
      </c>
      <c r="C24" s="20" t="str">
        <f>'Unit 1 Tracker'!C13</f>
        <v>Colonization, varieties of capitalism, and the biosphere</v>
      </c>
      <c r="D24" s="20" t="str">
        <f>'Unit 1 Tracker'!H13</f>
        <v>High</v>
      </c>
      <c r="E24" s="24">
        <f>'Unit 1 Tracker'!AA13</f>
        <v>0</v>
      </c>
      <c r="F24" s="48">
        <f>'Unit 1 Tracker'!Z13/60</f>
        <v>2.25</v>
      </c>
      <c r="G24" s="20" t="s">
        <v>350</v>
      </c>
      <c r="H24" s="21" t="str">
        <f>'Unit 1 Tracker'!AC13</f>
        <v>Link history, institutions, and environmental limits</v>
      </c>
    </row>
  </sheetData>
  <mergeCells count="2">
    <mergeCell ref="A1:H1"/>
    <mergeCell ref="A2:P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1"/>
  <sheetViews>
    <sheetView workbookViewId="0"/>
  </sheetViews>
  <sheetFormatPr baseColWidth="10" defaultColWidth="8.83203125" defaultRowHeight="14"/>
  <cols>
    <col min="1" max="1" width="12" customWidth="1"/>
    <col min="2" max="2" width="10" customWidth="1"/>
    <col min="3" max="3" width="24" customWidth="1"/>
    <col min="4" max="4" width="12" customWidth="1"/>
    <col min="5" max="6" width="10" customWidth="1"/>
    <col min="7" max="7" width="16" customWidth="1"/>
    <col min="8" max="8" width="12" customWidth="1"/>
    <col min="9" max="9" width="4" customWidth="1"/>
    <col min="10" max="10" width="10" customWidth="1"/>
    <col min="11" max="11" width="24" customWidth="1"/>
    <col min="12" max="13" width="10" customWidth="1"/>
    <col min="14" max="14" width="24" customWidth="1"/>
    <col min="15" max="15" width="18" customWidth="1"/>
    <col min="16" max="16" width="16" customWidth="1"/>
  </cols>
  <sheetData>
    <row r="1" spans="1:16" ht="91.25" customHeight="1">
      <c r="A1" s="54" t="s">
        <v>351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16" ht="296.25" customHeight="1">
      <c r="A2" s="55" t="s">
        <v>352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16" ht="91.25" customHeight="1">
      <c r="A4" s="63" t="s">
        <v>353</v>
      </c>
      <c r="B4" s="64"/>
      <c r="C4" s="64"/>
      <c r="D4" s="64"/>
      <c r="E4" s="64"/>
      <c r="F4" s="64"/>
      <c r="G4" s="64"/>
      <c r="H4" s="65"/>
      <c r="J4" s="75" t="s">
        <v>354</v>
      </c>
      <c r="K4" s="76"/>
      <c r="L4" s="76"/>
      <c r="M4" s="76"/>
      <c r="N4" s="76"/>
      <c r="O4" s="76"/>
      <c r="P4" s="77"/>
    </row>
    <row r="5" spans="1:16" ht="22.75" customHeight="1">
      <c r="A5" s="66">
        <f>AVERAGE('Master Planner'!AA5:AA200)</f>
        <v>2.364864864864865E-2</v>
      </c>
      <c r="B5" s="67"/>
      <c r="C5" s="67"/>
      <c r="D5" s="67"/>
      <c r="E5" s="67"/>
      <c r="F5" s="67"/>
      <c r="G5" s="67"/>
      <c r="H5" s="68"/>
      <c r="J5" s="78">
        <f ca="1">SUMIFS('Session Log'!H:H,'Session Log'!A:A,"&gt;="&amp;TODAY()-WEEKDAY(TODAY(),2)+1,'Session Log'!A:A,"&lt;="&amp;TODAY())/60</f>
        <v>0</v>
      </c>
      <c r="K5" s="67"/>
      <c r="L5" s="67"/>
      <c r="M5" s="67"/>
      <c r="N5" s="67"/>
      <c r="O5" s="67"/>
      <c r="P5" s="68"/>
    </row>
    <row r="6" spans="1:16" ht="22.75" customHeight="1">
      <c r="A6" s="69"/>
      <c r="B6" s="70"/>
      <c r="C6" s="70"/>
      <c r="D6" s="70"/>
      <c r="E6" s="70"/>
      <c r="F6" s="70"/>
      <c r="G6" s="70"/>
      <c r="H6" s="71"/>
      <c r="J6" s="69"/>
      <c r="K6" s="70"/>
      <c r="L6" s="70"/>
      <c r="M6" s="70"/>
      <c r="N6" s="70"/>
      <c r="O6" s="70"/>
      <c r="P6" s="71"/>
    </row>
    <row r="7" spans="1:16" ht="22.75" customHeight="1">
      <c r="A7" s="69"/>
      <c r="B7" s="70"/>
      <c r="C7" s="70"/>
      <c r="D7" s="70"/>
      <c r="E7" s="70"/>
      <c r="F7" s="70"/>
      <c r="G7" s="70"/>
      <c r="H7" s="71"/>
      <c r="J7" s="69"/>
      <c r="K7" s="70"/>
      <c r="L7" s="70"/>
      <c r="M7" s="70"/>
      <c r="N7" s="70"/>
      <c r="O7" s="70"/>
      <c r="P7" s="71"/>
    </row>
    <row r="8" spans="1:16" ht="22.75" customHeight="1">
      <c r="A8" s="72"/>
      <c r="B8" s="73"/>
      <c r="C8" s="73"/>
      <c r="D8" s="73"/>
      <c r="E8" s="73"/>
      <c r="F8" s="73"/>
      <c r="G8" s="73"/>
      <c r="H8" s="74"/>
      <c r="J8" s="72"/>
      <c r="K8" s="73"/>
      <c r="L8" s="73"/>
      <c r="M8" s="73"/>
      <c r="N8" s="73"/>
      <c r="O8" s="73"/>
      <c r="P8" s="74"/>
    </row>
    <row r="11" spans="1:16" ht="91.25" customHeight="1">
      <c r="A11" s="10" t="s">
        <v>58</v>
      </c>
      <c r="B11" s="11" t="s">
        <v>355</v>
      </c>
      <c r="C11" s="11" t="s">
        <v>356</v>
      </c>
      <c r="D11" s="11" t="s">
        <v>357</v>
      </c>
      <c r="E11" s="11" t="s">
        <v>358</v>
      </c>
      <c r="F11" s="11" t="s">
        <v>216</v>
      </c>
      <c r="G11" s="11" t="s">
        <v>359</v>
      </c>
      <c r="H11" s="11" t="s">
        <v>360</v>
      </c>
      <c r="I11" s="11" t="s">
        <v>361</v>
      </c>
      <c r="J11" s="11" t="s">
        <v>323</v>
      </c>
      <c r="K11" s="11" t="s">
        <v>324</v>
      </c>
      <c r="L11" s="12" t="s">
        <v>362</v>
      </c>
      <c r="N11" s="31" t="s">
        <v>363</v>
      </c>
      <c r="O11" s="32"/>
      <c r="P11" s="33"/>
    </row>
    <row r="12" spans="1:16" ht="68.25" customHeight="1">
      <c r="A12" s="13" t="str">
        <f>Readiness!A5</f>
        <v>Unit 1</v>
      </c>
      <c r="B12" s="46">
        <f>Readiness!B5</f>
        <v>16.25</v>
      </c>
      <c r="C12" s="46">
        <f>Readiness!C5</f>
        <v>14.90625</v>
      </c>
      <c r="D12" s="46">
        <f>Readiness!D5</f>
        <v>0</v>
      </c>
      <c r="E12" s="22">
        <f>Readiness!E5</f>
        <v>9.7222222222222224E-2</v>
      </c>
      <c r="F12" s="14">
        <f>Readiness!F5</f>
        <v>1</v>
      </c>
      <c r="G12" s="22">
        <f>Readiness!G5</f>
        <v>0</v>
      </c>
      <c r="H12" s="22">
        <f>Readiness!H5</f>
        <v>0</v>
      </c>
      <c r="I12" s="22">
        <f>Readiness!I5</f>
        <v>0</v>
      </c>
      <c r="J12" s="22">
        <f>Readiness!J5</f>
        <v>5.9444444444444446E-2</v>
      </c>
      <c r="K12" s="22" t="str">
        <f>Readiness!K5</f>
        <v/>
      </c>
      <c r="L12" s="15" t="str">
        <f>Readiness!L5</f>
        <v>Build notes + recall</v>
      </c>
      <c r="N12" s="13" t="s">
        <v>364</v>
      </c>
      <c r="O12" s="15"/>
      <c r="P12">
        <f>COUNTIF('Weak Spots'!J:J,"Open")+COUNTIF('Weak Spots'!J:J,"Retest scheduled")</f>
        <v>0</v>
      </c>
    </row>
    <row r="13" spans="1:16" ht="68.25" customHeight="1">
      <c r="A13" s="16" t="str">
        <f>Readiness!A6</f>
        <v>Unit 2</v>
      </c>
      <c r="B13" s="47">
        <f>Readiness!B6</f>
        <v>16.666666666666668</v>
      </c>
      <c r="C13" s="47">
        <f>Readiness!C6</f>
        <v>16.666666666666668</v>
      </c>
      <c r="D13" s="47">
        <f>Readiness!D6</f>
        <v>0</v>
      </c>
      <c r="E13" s="23">
        <f>Readiness!E6</f>
        <v>0</v>
      </c>
      <c r="F13" s="17">
        <f>Readiness!F6</f>
        <v>1</v>
      </c>
      <c r="G13" s="23">
        <f>Readiness!G6</f>
        <v>0</v>
      </c>
      <c r="H13" s="23">
        <f>Readiness!H6</f>
        <v>0</v>
      </c>
      <c r="I13" s="23">
        <f>Readiness!I6</f>
        <v>0</v>
      </c>
      <c r="J13" s="23">
        <f>Readiness!J6</f>
        <v>0.04</v>
      </c>
      <c r="K13" s="23" t="str">
        <f>Readiness!K6</f>
        <v/>
      </c>
      <c r="L13" s="18" t="str">
        <f>Readiness!L6</f>
        <v>Build notes + recall</v>
      </c>
      <c r="N13" s="16" t="s">
        <v>365</v>
      </c>
      <c r="O13" s="18"/>
      <c r="P13">
        <f>SUM(Readiness!C5:C8)</f>
        <v>70.90625</v>
      </c>
    </row>
    <row r="14" spans="1:16" ht="68.25" customHeight="1">
      <c r="A14" s="16" t="str">
        <f>Readiness!A7</f>
        <v>Unit 3</v>
      </c>
      <c r="B14" s="47">
        <f>Readiness!B7</f>
        <v>16.333333333333332</v>
      </c>
      <c r="C14" s="47">
        <f>Readiness!C7</f>
        <v>16.333333333333332</v>
      </c>
      <c r="D14" s="47">
        <f>Readiness!D7</f>
        <v>0</v>
      </c>
      <c r="E14" s="23">
        <f>Readiness!E7</f>
        <v>0</v>
      </c>
      <c r="F14" s="17">
        <f>Readiness!F7</f>
        <v>1</v>
      </c>
      <c r="G14" s="23">
        <f>Readiness!G7</f>
        <v>0</v>
      </c>
      <c r="H14" s="23">
        <f>Readiness!H7</f>
        <v>0</v>
      </c>
      <c r="I14" s="23">
        <f>Readiness!I7</f>
        <v>0</v>
      </c>
      <c r="J14" s="23">
        <f>Readiness!J7</f>
        <v>0.04</v>
      </c>
      <c r="K14" s="23" t="str">
        <f>Readiness!K7</f>
        <v/>
      </c>
      <c r="L14" s="18" t="str">
        <f>Readiness!L7</f>
        <v>Build notes + recall</v>
      </c>
      <c r="N14" s="16" t="s">
        <v>366</v>
      </c>
      <c r="O14" s="18"/>
      <c r="P14" s="52">
        <f>COUNTIF('Graph Tracker'!K:K,"Yes")/COUNTIF('Graph Tracker'!A:A,"&lt;&gt;")</f>
        <v>0</v>
      </c>
    </row>
    <row r="15" spans="1:16" ht="68.25" customHeight="1">
      <c r="A15" s="19" t="str">
        <f>Readiness!A8</f>
        <v>Unit 4</v>
      </c>
      <c r="B15" s="48">
        <f>Readiness!B8</f>
        <v>23</v>
      </c>
      <c r="C15" s="48">
        <f>Readiness!C8</f>
        <v>23</v>
      </c>
      <c r="D15" s="48">
        <f>Readiness!D8</f>
        <v>0</v>
      </c>
      <c r="E15" s="24">
        <f>Readiness!E8</f>
        <v>0</v>
      </c>
      <c r="F15" s="20">
        <f>Readiness!F8</f>
        <v>1</v>
      </c>
      <c r="G15" s="24">
        <f>Readiness!G8</f>
        <v>0</v>
      </c>
      <c r="H15" s="24">
        <f>Readiness!H8</f>
        <v>0</v>
      </c>
      <c r="I15" s="24">
        <f>Readiness!I8</f>
        <v>0</v>
      </c>
      <c r="J15" s="24">
        <f>Readiness!J8</f>
        <v>0.04</v>
      </c>
      <c r="K15" s="24" t="str">
        <f>Readiness!K8</f>
        <v/>
      </c>
      <c r="L15" s="21" t="str">
        <f>Readiness!L8</f>
        <v>Build notes + recall</v>
      </c>
      <c r="N15" s="16" t="s">
        <v>367</v>
      </c>
      <c r="O15" s="18"/>
      <c r="P15">
        <f>COUNTIF('Tutorial Tracker'!G:G,"Yes")</f>
        <v>0</v>
      </c>
    </row>
    <row r="16" spans="1:16" ht="22.75" customHeight="1">
      <c r="N16" s="19" t="s">
        <v>368</v>
      </c>
      <c r="O16" s="21"/>
      <c r="P16">
        <f>COUNTIF('Session Log'!A:A,"&gt;0")</f>
        <v>0</v>
      </c>
    </row>
    <row r="18" spans="1:16" ht="91.25" customHeight="1">
      <c r="A18" s="49" t="s">
        <v>369</v>
      </c>
      <c r="B18" s="50"/>
      <c r="C18" s="50"/>
      <c r="D18" s="50"/>
      <c r="E18" s="50"/>
      <c r="F18" s="50"/>
      <c r="G18" s="50"/>
      <c r="H18" s="51"/>
      <c r="J18" s="40" t="s">
        <v>370</v>
      </c>
      <c r="K18" s="41"/>
      <c r="L18" s="41"/>
      <c r="M18" s="41"/>
      <c r="N18" s="41"/>
      <c r="O18" s="41"/>
      <c r="P18" s="42"/>
    </row>
    <row r="19" spans="1:16" ht="113.75" customHeight="1">
      <c r="A19" s="13" t="str">
        <f>'Action Queue'!A5</f>
        <v>U4-10</v>
      </c>
      <c r="B19" s="14" t="str">
        <f>'Action Queue'!B5</f>
        <v>Unit 4</v>
      </c>
      <c r="C19" s="14" t="str">
        <f>'Action Queue'!C5</f>
        <v>Ultimatum game, experiments, expected payoffs, and competition</v>
      </c>
      <c r="D19" s="14" t="str">
        <f>'Action Queue'!D5</f>
        <v>Critical</v>
      </c>
      <c r="E19" s="22">
        <f>'Action Queue'!E5</f>
        <v>0</v>
      </c>
      <c r="F19" s="46">
        <f>'Action Queue'!F5</f>
        <v>2.5833333333333335</v>
      </c>
      <c r="G19" s="14" t="str">
        <f>'Action Queue'!G5</f>
        <v>Unit 4 Tracker!14</v>
      </c>
      <c r="H19" s="15" t="str">
        <f>'Action Queue'!H5</f>
        <v>Sequential solve first, then experimental results</v>
      </c>
      <c r="J19" s="13" t="str">
        <f>'Unit 4 Tracker'!B14</f>
        <v>Unit 4</v>
      </c>
      <c r="K19" s="14" t="str">
        <f>'Unit 4 Tracker'!C14</f>
        <v>Ultimatum game, experiments, expected payoffs, and competition</v>
      </c>
      <c r="L19" s="14">
        <f>'Unit 4 Tracker'!I14</f>
        <v>1</v>
      </c>
      <c r="M19" s="22">
        <f>'Unit 4 Tracker'!AA14</f>
        <v>0</v>
      </c>
      <c r="N19" s="14" t="str">
        <f>'Unit 4 Tracker'!AC14</f>
        <v>Sequential solve first, then experimental results</v>
      </c>
      <c r="O19" s="14" t="s">
        <v>371</v>
      </c>
      <c r="P19" s="15" t="s">
        <v>372</v>
      </c>
    </row>
    <row r="20" spans="1:16" ht="136.75" customHeight="1">
      <c r="A20" s="16" t="str">
        <f>'Action Queue'!A6</f>
        <v>U4-11</v>
      </c>
      <c r="B20" s="17" t="str">
        <f>'Action Queue'!B6</f>
        <v>Unit 4</v>
      </c>
      <c r="C20" s="17" t="str">
        <f>'Action Queue'!C6</f>
        <v>Coordination games, hawk–dove, and climate-change modelling</v>
      </c>
      <c r="D20" s="17" t="str">
        <f>'Action Queue'!D6</f>
        <v>Critical</v>
      </c>
      <c r="E20" s="23">
        <f>'Action Queue'!E6</f>
        <v>0</v>
      </c>
      <c r="F20" s="47">
        <f>'Action Queue'!F6</f>
        <v>2.5833333333333335</v>
      </c>
      <c r="G20" s="17" t="str">
        <f>'Action Queue'!G6</f>
        <v>Unit 4 Tracker!15</v>
      </c>
      <c r="H20" s="18" t="str">
        <f>'Action Queue'!H6</f>
        <v>Distinguish PD vs coordination vs hawk–dove</v>
      </c>
      <c r="J20" s="16" t="str">
        <f>'Unit 4 Tracker'!B15</f>
        <v>Unit 4</v>
      </c>
      <c r="K20" s="17" t="str">
        <f>'Unit 4 Tracker'!C15</f>
        <v>Coordination games, hawk–dove, and climate-change modelling</v>
      </c>
      <c r="L20" s="17">
        <f>'Unit 4 Tracker'!I15</f>
        <v>1</v>
      </c>
      <c r="M20" s="23">
        <f>'Unit 4 Tracker'!AA15</f>
        <v>0</v>
      </c>
      <c r="N20" s="17" t="str">
        <f>'Unit 4 Tracker'!AC15</f>
        <v>Distinguish PD vs coordination vs hawk–dove</v>
      </c>
      <c r="O20" s="17" t="s">
        <v>371</v>
      </c>
      <c r="P20" s="18" t="s">
        <v>372</v>
      </c>
    </row>
    <row r="21" spans="1:16" ht="113.75" customHeight="1">
      <c r="A21" s="16" t="str">
        <f>'Action Queue'!A7</f>
        <v>U3-05</v>
      </c>
      <c r="B21" s="17" t="str">
        <f>'Action Queue'!B7</f>
        <v>Unit 3</v>
      </c>
      <c r="C21" s="17" t="str">
        <f>'Action Queue'!C7</f>
        <v>Price effect, income effect, and substitution effect for goods</v>
      </c>
      <c r="D21" s="17" t="str">
        <f>'Action Queue'!D7</f>
        <v>Critical</v>
      </c>
      <c r="E21" s="23">
        <f>'Action Queue'!E7</f>
        <v>0</v>
      </c>
      <c r="F21" s="47">
        <f>'Action Queue'!F7</f>
        <v>2.5</v>
      </c>
      <c r="G21" s="17" t="str">
        <f>'Action Queue'!G7</f>
        <v>Unit 3 Tracker!9</v>
      </c>
      <c r="H21" s="18" t="str">
        <f>'Action Queue'!H7</f>
        <v>Be able to separate the two effects cleanly</v>
      </c>
      <c r="J21" s="16" t="str">
        <f>'Unit 3 Tracker'!B9</f>
        <v>Unit 3</v>
      </c>
      <c r="K21" s="17" t="str">
        <f>'Unit 3 Tracker'!C9</f>
        <v>Price effect, income effect, and substitution effect for goods</v>
      </c>
      <c r="L21" s="17">
        <f>'Unit 3 Tracker'!I9</f>
        <v>1</v>
      </c>
      <c r="M21" s="23">
        <f>'Unit 3 Tracker'!AA9</f>
        <v>0</v>
      </c>
      <c r="N21" s="17" t="str">
        <f>'Unit 3 Tracker'!AC9</f>
        <v>Be able to separate the two effects cleanly</v>
      </c>
      <c r="O21" s="17" t="s">
        <v>371</v>
      </c>
      <c r="P21" s="18" t="s">
        <v>372</v>
      </c>
    </row>
    <row r="22" spans="1:16" ht="113.75" customHeight="1">
      <c r="A22" s="16" t="str">
        <f>'Action Queue'!A8</f>
        <v>U1-07</v>
      </c>
      <c r="B22" s="17" t="str">
        <f>'Action Queue'!B8</f>
        <v>Unit 1</v>
      </c>
      <c r="C22" s="17" t="str">
        <f>'Action Queue'!C8</f>
        <v>Malthusian trap, subsistence, and technology shock</v>
      </c>
      <c r="D22" s="17" t="str">
        <f>'Action Queue'!D8</f>
        <v>Critical</v>
      </c>
      <c r="E22" s="23">
        <f>'Action Queue'!E8</f>
        <v>0</v>
      </c>
      <c r="F22" s="47">
        <f>'Action Queue'!F8</f>
        <v>2.3333333333333335</v>
      </c>
      <c r="G22" s="17" t="str">
        <f>'Action Queue'!G8</f>
        <v>Unit 1 Tracker!11</v>
      </c>
      <c r="H22" s="18" t="str">
        <f>'Action Queue'!H8</f>
        <v>Practise the four-step mechanism aloud</v>
      </c>
      <c r="J22" s="16" t="str">
        <f>'Unit 1 Tracker'!B11</f>
        <v>Unit 1</v>
      </c>
      <c r="K22" s="17" t="str">
        <f>'Unit 1 Tracker'!C11</f>
        <v>Malthusian trap, subsistence, and technology shock</v>
      </c>
      <c r="L22" s="17">
        <f>'Unit 1 Tracker'!I11</f>
        <v>1</v>
      </c>
      <c r="M22" s="23">
        <f>'Unit 1 Tracker'!AA11</f>
        <v>0</v>
      </c>
      <c r="N22" s="17" t="str">
        <f>'Unit 1 Tracker'!AC11</f>
        <v>Practise the four-step mechanism aloud</v>
      </c>
      <c r="O22" s="17" t="s">
        <v>371</v>
      </c>
      <c r="P22" s="18" t="s">
        <v>372</v>
      </c>
    </row>
    <row r="23" spans="1:16" ht="113.75" customHeight="1">
      <c r="A23" s="19" t="str">
        <f>'Action Queue'!A9</f>
        <v>U3-02</v>
      </c>
      <c r="B23" s="20" t="str">
        <f>'Action Queue'!B9</f>
        <v>Unit 3</v>
      </c>
      <c r="C23" s="20" t="str">
        <f>'Action Queue'!C9</f>
        <v>Preferences, utility, indifference curves, and diminishing MRS</v>
      </c>
      <c r="D23" s="20" t="str">
        <f>'Action Queue'!D9</f>
        <v>Critical</v>
      </c>
      <c r="E23" s="24">
        <f>'Action Queue'!E9</f>
        <v>0</v>
      </c>
      <c r="F23" s="48">
        <f>'Action Queue'!F9</f>
        <v>2.3333333333333335</v>
      </c>
      <c r="G23" s="20" t="str">
        <f>'Action Queue'!G9</f>
        <v>Unit 3 Tracker!6</v>
      </c>
      <c r="H23" s="21" t="str">
        <f>'Action Queue'!H9</f>
        <v>Do not let ICs shift when budget changes</v>
      </c>
      <c r="J23" s="19" t="str">
        <f>'Unit 3 Tracker'!B6</f>
        <v>Unit 3</v>
      </c>
      <c r="K23" s="20" t="str">
        <f>'Unit 3 Tracker'!C6</f>
        <v>Preferences, utility, indifference curves, and diminishing MRS</v>
      </c>
      <c r="L23" s="20">
        <f>'Unit 3 Tracker'!I6</f>
        <v>1</v>
      </c>
      <c r="M23" s="24">
        <f>'Unit 3 Tracker'!AA6</f>
        <v>0</v>
      </c>
      <c r="N23" s="20" t="str">
        <f>'Unit 3 Tracker'!AC6</f>
        <v>Do not let ICs shift when budget changes</v>
      </c>
      <c r="O23" s="20" t="s">
        <v>371</v>
      </c>
      <c r="P23" s="21" t="s">
        <v>372</v>
      </c>
    </row>
    <row r="26" spans="1:16" ht="45.5" customHeight="1">
      <c r="A26" s="25" t="s">
        <v>373</v>
      </c>
      <c r="B26" s="26"/>
      <c r="C26" s="26"/>
      <c r="D26" s="26"/>
      <c r="E26" s="26"/>
      <c r="F26" s="27"/>
    </row>
    <row r="27" spans="1:16" ht="91.25" customHeight="1">
      <c r="A27" s="13" t="s">
        <v>374</v>
      </c>
      <c r="B27" s="14"/>
      <c r="C27" s="14"/>
      <c r="D27" s="14"/>
      <c r="E27" s="15"/>
      <c r="F27">
        <v>8</v>
      </c>
    </row>
    <row r="28" spans="1:16" ht="45.5" customHeight="1">
      <c r="A28" s="16" t="s">
        <v>375</v>
      </c>
      <c r="B28" s="17"/>
      <c r="C28" s="17"/>
      <c r="D28" s="17"/>
      <c r="E28" s="18"/>
      <c r="F28" s="53">
        <f>IF(F27=0,"",P13/F27)</f>
        <v>8.86328125</v>
      </c>
    </row>
    <row r="29" spans="1:16" ht="68.25" customHeight="1">
      <c r="A29" s="16" t="s">
        <v>376</v>
      </c>
      <c r="B29" s="17"/>
      <c r="C29" s="17"/>
      <c r="D29" s="17"/>
      <c r="E29" s="18"/>
      <c r="F29" s="53">
        <f>P13</f>
        <v>70.90625</v>
      </c>
    </row>
    <row r="30" spans="1:16" ht="45.5" customHeight="1">
      <c r="A30" s="16" t="s">
        <v>377</v>
      </c>
      <c r="B30" s="17"/>
      <c r="C30" s="17"/>
      <c r="D30" s="17"/>
      <c r="E30" s="18"/>
      <c r="F30" t="s">
        <v>378</v>
      </c>
    </row>
    <row r="31" spans="1:16" ht="22.75" customHeight="1">
      <c r="A31" s="19" t="s">
        <v>379</v>
      </c>
      <c r="B31" s="20"/>
      <c r="C31" s="20"/>
      <c r="D31" s="20"/>
      <c r="E31" s="21"/>
      <c r="F31" t="s">
        <v>380</v>
      </c>
    </row>
  </sheetData>
  <mergeCells count="6">
    <mergeCell ref="A1:P1"/>
    <mergeCell ref="A2:P2"/>
    <mergeCell ref="A4:H4"/>
    <mergeCell ref="A5:H8"/>
    <mergeCell ref="J4:P4"/>
    <mergeCell ref="J5:P8"/>
  </mergeCells>
  <conditionalFormatting sqref="E12:K15">
    <cfRule type="colorScale" priority="1">
      <colorScale>
        <cfvo type="min"/>
        <cfvo type="percentile" val="50"/>
        <cfvo type="max"/>
        <color rgb="FFFFEDEE"/>
        <color rgb="FFFFF9E8"/>
        <color rgb="FFEAF9F0"/>
      </colorScale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"/>
  <sheetViews>
    <sheetView workbookViewId="0"/>
  </sheetViews>
  <sheetFormatPr baseColWidth="10" defaultColWidth="8.83203125" defaultRowHeight="14"/>
  <cols>
    <col min="1" max="1" width="9" customWidth="1"/>
    <col min="2" max="2" width="34" customWidth="1"/>
    <col min="3" max="3" width="9" customWidth="1"/>
    <col min="4" max="4" width="34" customWidth="1"/>
    <col min="6" max="6" width="11" customWidth="1"/>
    <col min="7" max="7" width="26" customWidth="1"/>
    <col min="8" max="8" width="28" customWidth="1"/>
  </cols>
  <sheetData>
    <row r="1" spans="1:16" ht="45.5" customHeight="1">
      <c r="A1" s="79" t="s">
        <v>381</v>
      </c>
      <c r="B1" s="79"/>
      <c r="C1" s="79"/>
      <c r="D1" s="79"/>
      <c r="E1" s="79"/>
      <c r="F1" s="79"/>
      <c r="G1" s="79"/>
      <c r="H1" s="79"/>
    </row>
    <row r="2" spans="1:16" ht="273.5" customHeight="1">
      <c r="A2" s="55" t="s">
        <v>382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16" ht="68.25" customHeight="1">
      <c r="A4" s="25" t="s">
        <v>383</v>
      </c>
      <c r="B4" s="26"/>
      <c r="C4" s="26" t="s">
        <v>384</v>
      </c>
      <c r="D4" s="27"/>
      <c r="F4" s="49" t="s">
        <v>385</v>
      </c>
      <c r="G4" s="50"/>
      <c r="H4" s="51" t="s">
        <v>386</v>
      </c>
    </row>
    <row r="5" spans="1:16" ht="45.5" customHeight="1">
      <c r="A5" s="1" t="s">
        <v>387</v>
      </c>
      <c r="B5" s="2" t="s">
        <v>388</v>
      </c>
      <c r="C5" s="2" t="s">
        <v>387</v>
      </c>
      <c r="D5" s="3" t="s">
        <v>389</v>
      </c>
      <c r="F5" s="1" t="s">
        <v>387</v>
      </c>
      <c r="G5" s="2" t="s">
        <v>390</v>
      </c>
      <c r="H5" s="3" t="s">
        <v>391</v>
      </c>
    </row>
    <row r="6" spans="1:16" ht="45.5" customHeight="1">
      <c r="A6" s="1" t="s">
        <v>392</v>
      </c>
      <c r="B6" s="2" t="s">
        <v>393</v>
      </c>
      <c r="C6" s="2" t="s">
        <v>392</v>
      </c>
      <c r="D6" s="3" t="s">
        <v>394</v>
      </c>
      <c r="F6" s="1" t="s">
        <v>392</v>
      </c>
      <c r="G6" s="2" t="s">
        <v>395</v>
      </c>
      <c r="H6" s="3" t="s">
        <v>396</v>
      </c>
    </row>
    <row r="7" spans="1:16" ht="45.5" customHeight="1">
      <c r="A7" s="1" t="s">
        <v>397</v>
      </c>
      <c r="B7" s="2" t="s">
        <v>398</v>
      </c>
      <c r="C7" s="2" t="s">
        <v>397</v>
      </c>
      <c r="D7" s="3" t="s">
        <v>399</v>
      </c>
      <c r="F7" s="1" t="s">
        <v>397</v>
      </c>
      <c r="G7" s="2" t="s">
        <v>400</v>
      </c>
      <c r="H7" s="3" t="s">
        <v>401</v>
      </c>
    </row>
    <row r="8" spans="1:16" ht="45.5" customHeight="1">
      <c r="A8" s="1" t="s">
        <v>402</v>
      </c>
      <c r="B8" s="2" t="s">
        <v>403</v>
      </c>
      <c r="C8" s="2" t="s">
        <v>402</v>
      </c>
      <c r="D8" s="3" t="s">
        <v>404</v>
      </c>
      <c r="F8" s="1" t="s">
        <v>402</v>
      </c>
      <c r="G8" s="2" t="s">
        <v>405</v>
      </c>
      <c r="H8" s="3" t="s">
        <v>406</v>
      </c>
    </row>
    <row r="9" spans="1:16" ht="45.5" customHeight="1">
      <c r="A9" s="4" t="s">
        <v>407</v>
      </c>
      <c r="B9" s="5" t="s">
        <v>408</v>
      </c>
      <c r="C9" s="5" t="s">
        <v>407</v>
      </c>
      <c r="D9" s="6" t="s">
        <v>409</v>
      </c>
      <c r="F9" s="4" t="s">
        <v>407</v>
      </c>
      <c r="G9" s="5" t="s">
        <v>410</v>
      </c>
      <c r="H9" s="6" t="s">
        <v>411</v>
      </c>
    </row>
  </sheetData>
  <mergeCells count="2">
    <mergeCell ref="A1:H1"/>
    <mergeCell ref="A2:P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2"/>
  <sheetViews>
    <sheetView workbookViewId="0"/>
  </sheetViews>
  <sheetFormatPr baseColWidth="10" defaultColWidth="8.83203125" defaultRowHeight="14"/>
  <cols>
    <col min="1" max="1" width="16" customWidth="1"/>
    <col min="2" max="2" width="34" customWidth="1"/>
    <col min="4" max="4" width="10" customWidth="1"/>
    <col min="5" max="5" width="30" customWidth="1"/>
  </cols>
  <sheetData>
    <row r="1" spans="1:16" ht="45.5" customHeight="1">
      <c r="A1" s="57" t="s">
        <v>412</v>
      </c>
      <c r="B1" s="57"/>
      <c r="C1" s="57"/>
      <c r="D1" s="57"/>
      <c r="E1" s="57"/>
      <c r="F1" s="57"/>
      <c r="G1" s="57"/>
      <c r="H1" s="57"/>
    </row>
    <row r="2" spans="1:16" ht="182.25" customHeight="1">
      <c r="A2" s="55" t="s">
        <v>413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16" ht="45.5" customHeight="1">
      <c r="A4" s="10" t="s">
        <v>414</v>
      </c>
      <c r="B4" s="12" t="s">
        <v>415</v>
      </c>
      <c r="D4" s="25" t="s">
        <v>416</v>
      </c>
      <c r="E4" s="26"/>
      <c r="F4" s="26"/>
      <c r="G4" s="26"/>
      <c r="H4" s="27"/>
    </row>
    <row r="5" spans="1:16" ht="45.5" customHeight="1">
      <c r="A5" s="1" t="s">
        <v>417</v>
      </c>
      <c r="B5" s="3" t="s">
        <v>418</v>
      </c>
      <c r="D5" s="1" t="s">
        <v>387</v>
      </c>
      <c r="E5" s="2" t="s">
        <v>419</v>
      </c>
      <c r="F5" s="2"/>
      <c r="G5" s="2"/>
      <c r="H5" s="3"/>
    </row>
    <row r="6" spans="1:16" ht="45.5" customHeight="1">
      <c r="A6" s="1" t="s">
        <v>420</v>
      </c>
      <c r="B6" s="3" t="s">
        <v>421</v>
      </c>
      <c r="D6" s="1" t="s">
        <v>392</v>
      </c>
      <c r="E6" s="2" t="s">
        <v>422</v>
      </c>
      <c r="F6" s="2"/>
      <c r="G6" s="2"/>
      <c r="H6" s="3"/>
    </row>
    <row r="7" spans="1:16" ht="45.5" customHeight="1">
      <c r="A7" s="1" t="s">
        <v>423</v>
      </c>
      <c r="B7" s="3" t="s">
        <v>424</v>
      </c>
      <c r="D7" s="1" t="s">
        <v>397</v>
      </c>
      <c r="E7" s="2" t="s">
        <v>425</v>
      </c>
      <c r="F7" s="2"/>
      <c r="G7" s="2"/>
      <c r="H7" s="3"/>
    </row>
    <row r="8" spans="1:16" ht="45.5" customHeight="1">
      <c r="A8" s="1" t="s">
        <v>206</v>
      </c>
      <c r="B8" s="3" t="s">
        <v>426</v>
      </c>
      <c r="D8" s="1" t="s">
        <v>402</v>
      </c>
      <c r="E8" s="2" t="s">
        <v>427</v>
      </c>
      <c r="F8" s="2"/>
      <c r="G8" s="2"/>
      <c r="H8" s="3"/>
    </row>
    <row r="9" spans="1:16" ht="45.5" customHeight="1">
      <c r="A9" s="1" t="s">
        <v>271</v>
      </c>
      <c r="B9" s="3" t="s">
        <v>428</v>
      </c>
      <c r="D9" s="1" t="s">
        <v>407</v>
      </c>
      <c r="E9" s="2" t="s">
        <v>429</v>
      </c>
      <c r="F9" s="2"/>
      <c r="G9" s="2"/>
      <c r="H9" s="3"/>
    </row>
    <row r="10" spans="1:16" ht="68.25" customHeight="1">
      <c r="A10" s="1" t="s">
        <v>294</v>
      </c>
      <c r="B10" s="3" t="s">
        <v>430</v>
      </c>
      <c r="D10" s="1" t="s">
        <v>431</v>
      </c>
      <c r="E10" s="2" t="s">
        <v>432</v>
      </c>
      <c r="F10" s="2"/>
      <c r="G10" s="2"/>
      <c r="H10" s="3"/>
    </row>
    <row r="11" spans="1:16" ht="45.5" customHeight="1">
      <c r="A11" s="1" t="s">
        <v>433</v>
      </c>
      <c r="B11" s="3" t="s">
        <v>434</v>
      </c>
      <c r="D11" s="4" t="s">
        <v>435</v>
      </c>
      <c r="E11" s="5" t="s">
        <v>436</v>
      </c>
      <c r="F11" s="5"/>
      <c r="G11" s="5"/>
      <c r="H11" s="6"/>
    </row>
    <row r="12" spans="1:16" ht="22.75" customHeight="1">
      <c r="A12" s="4" t="s">
        <v>437</v>
      </c>
      <c r="B12" s="6" t="s">
        <v>438</v>
      </c>
    </row>
  </sheetData>
  <mergeCells count="2">
    <mergeCell ref="A1:H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Lists</vt:lpstr>
      <vt:lpstr>Unit 1 Tracker</vt:lpstr>
      <vt:lpstr>Unit 2 Tracker</vt:lpstr>
      <vt:lpstr>Unit 3 Tracker</vt:lpstr>
      <vt:lpstr>Unit 4 Tracker</vt:lpstr>
      <vt:lpstr>Master Planner</vt:lpstr>
      <vt:lpstr>Graph Tracker</vt:lpstr>
      <vt:lpstr>Tutorial Tracker</vt:lpstr>
      <vt:lpstr>Session Log</vt:lpstr>
      <vt:lpstr>Weak Spots</vt:lpstr>
      <vt:lpstr>Readiness</vt:lpstr>
      <vt:lpstr>Action Queue</vt:lpstr>
      <vt:lpstr>Dashboard</vt:lpstr>
      <vt:lpstr>Exam Toolkit</vt:lpstr>
      <vt:lpstr>Template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Apsey, N, Ms [30514967@sun.ac.za]</cp:lastModifiedBy>
  <dcterms:modified xsi:type="dcterms:W3CDTF">2026-04-02T17:26:03Z</dcterms:modified>
</cp:coreProperties>
</file>