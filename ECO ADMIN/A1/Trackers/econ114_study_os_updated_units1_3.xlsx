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icole/Downloads/"/>
    </mc:Choice>
  </mc:AlternateContent>
  <xr:revisionPtr revIDLastSave="0" documentId="8_{1BC0F6BA-FD3C-D147-9486-D49242D1E9B9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Dashboard" sheetId="1" r:id="rId1"/>
    <sheet name="Unit Planner" sheetId="2" r:id="rId2"/>
    <sheet name="Study Tracker" sheetId="3" r:id="rId3"/>
    <sheet name="Session Log" sheetId="4" r:id="rId4"/>
    <sheet name="Exam Toolkit" sheetId="5" r:id="rId5"/>
    <sheet name="Template Guide" sheetId="6" r:id="rId6"/>
    <sheet name="List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C15" i="1"/>
  <c r="B15" i="1"/>
  <c r="D15" i="1" s="1"/>
  <c r="F14" i="1"/>
  <c r="E14" i="1"/>
  <c r="C14" i="1"/>
  <c r="B14" i="1"/>
  <c r="D14" i="1" s="1"/>
  <c r="F13" i="1"/>
  <c r="E13" i="1"/>
  <c r="C13" i="1"/>
  <c r="B13" i="1"/>
  <c r="F12" i="1"/>
  <c r="E12" i="1"/>
  <c r="C12" i="1"/>
  <c r="B12" i="1"/>
  <c r="F11" i="1"/>
  <c r="E11" i="1"/>
  <c r="C11" i="1"/>
  <c r="B11" i="1"/>
  <c r="B7" i="1"/>
  <c r="B5" i="1"/>
  <c r="B4" i="1"/>
  <c r="D11" i="1" l="1"/>
  <c r="B6" i="1"/>
  <c r="D12" i="1"/>
  <c r="D13" i="1"/>
</calcChain>
</file>

<file path=xl/sharedStrings.xml><?xml version="1.0" encoding="utf-8"?>
<sst xmlns="http://schemas.openxmlformats.org/spreadsheetml/2006/main" count="649" uniqueCount="279">
  <si>
    <t>ECON 114 Study OS — Updated for Units 1 + 2 + 3</t>
  </si>
  <si>
    <t>KPI</t>
  </si>
  <si>
    <t>Value</t>
  </si>
  <si>
    <t>Colour sequence</t>
  </si>
  <si>
    <t>Use section colours in this order</t>
  </si>
  <si>
    <t>Topics total</t>
  </si>
  <si>
    <t>1</t>
  </si>
  <si>
    <t>Purple</t>
  </si>
  <si>
    <t>Topics done</t>
  </si>
  <si>
    <t>2</t>
  </si>
  <si>
    <t>Dark Blue</t>
  </si>
  <si>
    <t>Completion %</t>
  </si>
  <si>
    <t>3</t>
  </si>
  <si>
    <t>Light Blue</t>
  </si>
  <si>
    <t>Avg confidence</t>
  </si>
  <si>
    <t>4</t>
  </si>
  <si>
    <t>Dark Green</t>
  </si>
  <si>
    <t>5</t>
  </si>
  <si>
    <t>Pastel Green</t>
  </si>
  <si>
    <t>6</t>
  </si>
  <si>
    <t>Pastel Yellow</t>
  </si>
  <si>
    <t>Unit</t>
  </si>
  <si>
    <t>Total topics</t>
  </si>
  <si>
    <t>Done</t>
  </si>
  <si>
    <t>Priority topics left</t>
  </si>
  <si>
    <t>7</t>
  </si>
  <si>
    <t>Orange</t>
  </si>
  <si>
    <t>Unit 1</t>
  </si>
  <si>
    <t>8</t>
  </si>
  <si>
    <t>Red</t>
  </si>
  <si>
    <t>Unit 2</t>
  </si>
  <si>
    <t>9</t>
  </si>
  <si>
    <t>Pink</t>
  </si>
  <si>
    <t>Unit 3</t>
  </si>
  <si>
    <t>Template intent</t>
  </si>
  <si>
    <t>Build the same structure for every unit</t>
  </si>
  <si>
    <t>Unit 4</t>
  </si>
  <si>
    <t>Actual graphs in notes</t>
  </si>
  <si>
    <t>Unit 5</t>
  </si>
  <si>
    <t>Teach-back tracking</t>
  </si>
  <si>
    <t>Unit Planner — master map for each MegaPack (Units 1–3 live)</t>
  </si>
  <si>
    <t>Order</t>
  </si>
  <si>
    <t>Section type</t>
  </si>
  <si>
    <t>Section / page block</t>
  </si>
  <si>
    <t>Subtopic</t>
  </si>
  <si>
    <t>Source</t>
  </si>
  <si>
    <t>Exam weight</t>
  </si>
  <si>
    <t>Need graph?</t>
  </si>
  <si>
    <t>Need worked answer?</t>
  </si>
  <si>
    <t>Notes</t>
  </si>
  <si>
    <t>Cover + quick map</t>
  </si>
  <si>
    <t>Cover + build-up</t>
  </si>
  <si>
    <t>Title, scope, vocabulary</t>
  </si>
  <si>
    <t>Slides + assessment</t>
  </si>
  <si>
    <t>High</t>
  </si>
  <si>
    <t>No</t>
  </si>
  <si>
    <t>Template row</t>
  </si>
  <si>
    <t>Quick recall</t>
  </si>
  <si>
    <t>Definitions + big claims</t>
  </si>
  <si>
    <t>Textbook + slides</t>
  </si>
  <si>
    <t>Yes</t>
  </si>
  <si>
    <t>Core concepts</t>
  </si>
  <si>
    <t>Full theory</t>
  </si>
  <si>
    <t>Growth, inequality, capitalism, biosphere</t>
  </si>
  <si>
    <t>Graphs + intuition</t>
  </si>
  <si>
    <t>Actual graph gallery</t>
  </si>
  <si>
    <t>Hockey stick, inequality, APL, Malthus, biodiversity</t>
  </si>
  <si>
    <t>Slides + textbook</t>
  </si>
  <si>
    <t>Exam toolkit</t>
  </si>
  <si>
    <t>Exam page</t>
  </si>
  <si>
    <t>Tutorial logic + negative marking</t>
  </si>
  <si>
    <t>Tutorial + scope</t>
  </si>
  <si>
    <t>Title, themes, vocabulary</t>
  </si>
  <si>
    <t>Opportunity cost, rent, trade</t>
  </si>
  <si>
    <t>Kutesmart, relative prices, Industrial Revolution</t>
  </si>
  <si>
    <t>History, population, rent, technology choice, wages, CO2</t>
  </si>
  <si>
    <t>Definition traps + graph traps</t>
  </si>
  <si>
    <t>Title, concepts, notation</t>
  </si>
  <si>
    <t>Primary-study version</t>
  </si>
  <si>
    <t>Scarcity, utility, MRS, MRT</t>
  </si>
  <si>
    <t>Slides</t>
  </si>
  <si>
    <t>Use as memorisation map</t>
  </si>
  <si>
    <t>Preferences, indifference curves, budget line, optimum</t>
  </si>
  <si>
    <t>Slides + tutorial</t>
  </si>
  <si>
    <t>Written out more fully</t>
  </si>
  <si>
    <t>ICs, budget line, feasible set, hours worked, inequality</t>
  </si>
  <si>
    <t>Actual graph pages embedded</t>
  </si>
  <si>
    <t>Income vs substitution, T/F traps, worked answers</t>
  </si>
  <si>
    <t>Tutorial 3 + scope</t>
  </si>
  <si>
    <t>Negative-marking safe</t>
  </si>
  <si>
    <t>Study Tracker — topic-by-topic progress (Units 1–3 built)</t>
  </si>
  <si>
    <t>Topic ID</t>
  </si>
  <si>
    <t>Section colour</t>
  </si>
  <si>
    <t>Topic / subtopic</t>
  </si>
  <si>
    <t>Status</t>
  </si>
  <si>
    <t>Confidence (1-5)</t>
  </si>
  <si>
    <t>Priority</t>
  </si>
  <si>
    <t>Paper notes done?</t>
  </si>
  <si>
    <t>Teach-back done?</t>
  </si>
  <si>
    <t>Need revisit?</t>
  </si>
  <si>
    <t>Comments</t>
  </si>
  <si>
    <t>U1-01</t>
  </si>
  <si>
    <t>GDP, GDP per capita, PPP</t>
  </si>
  <si>
    <t>Not started</t>
  </si>
  <si>
    <t>Critical</t>
  </si>
  <si>
    <t>Template starter row</t>
  </si>
  <si>
    <t>U1-02</t>
  </si>
  <si>
    <t>History's hockey stick</t>
  </si>
  <si>
    <t>U1-03</t>
  </si>
  <si>
    <t>Between-country inequality</t>
  </si>
  <si>
    <t>U1-04</t>
  </si>
  <si>
    <t>Within-country inequality</t>
  </si>
  <si>
    <t>U1-05</t>
  </si>
  <si>
    <t>Diminishing APL</t>
  </si>
  <si>
    <t>Textbook</t>
  </si>
  <si>
    <t>U1-06</t>
  </si>
  <si>
    <t>Malthusian equilibrium</t>
  </si>
  <si>
    <t>Textbook + graph</t>
  </si>
  <si>
    <t>U1-07</t>
  </si>
  <si>
    <t>Technology improvement in Malthus model</t>
  </si>
  <si>
    <t>U1-08</t>
  </si>
  <si>
    <t>Capitalism: private property + firms + markets</t>
  </si>
  <si>
    <t>U1-09</t>
  </si>
  <si>
    <t>Tutorial 1 logic</t>
  </si>
  <si>
    <t>Tutorial</t>
  </si>
  <si>
    <t>U1-10</t>
  </si>
  <si>
    <t>Teach-back mastery</t>
  </si>
  <si>
    <t>MegaPack</t>
  </si>
  <si>
    <t>U2-01</t>
  </si>
  <si>
    <t>Kutesmart story</t>
  </si>
  <si>
    <t>U2-02</t>
  </si>
  <si>
    <t>Opportunity cost</t>
  </si>
  <si>
    <t>U2-03</t>
  </si>
  <si>
    <t>Reservation option</t>
  </si>
  <si>
    <t>U2-04</t>
  </si>
  <si>
    <t>Economic rent</t>
  </si>
  <si>
    <t>U2-05</t>
  </si>
  <si>
    <t>Innovation rent</t>
  </si>
  <si>
    <t>U2-06</t>
  </si>
  <si>
    <t>Relative prices</t>
  </si>
  <si>
    <t>U2-07</t>
  </si>
  <si>
    <t>Absolute advantage</t>
  </si>
  <si>
    <t>U2-08</t>
  </si>
  <si>
    <t>Comparative advantage</t>
  </si>
  <si>
    <t>U2-09</t>
  </si>
  <si>
    <t>Cheap coal, expensive labour</t>
  </si>
  <si>
    <t>U2-10</t>
  </si>
  <si>
    <t>Industrial Revolution + escape from Malthus</t>
  </si>
  <si>
    <t>U2-11</t>
  </si>
  <si>
    <t>Technology choice graph / coal-labour ratios</t>
  </si>
  <si>
    <t>Medium</t>
  </si>
  <si>
    <t>Textbook graph</t>
  </si>
  <si>
    <t>U2-12</t>
  </si>
  <si>
    <t>U3-01</t>
  </si>
  <si>
    <t>Decision-making under scarcity</t>
  </si>
  <si>
    <t>Start with the model frame</t>
  </si>
  <si>
    <t>U3-02</t>
  </si>
  <si>
    <t>Preferences + utility</t>
  </si>
  <si>
    <t>Define clearly</t>
  </si>
  <si>
    <t>U3-03</t>
  </si>
  <si>
    <t>Indifference curves</t>
  </si>
  <si>
    <t>Slides + graph</t>
  </si>
  <si>
    <t>Properties + interpretation</t>
  </si>
  <si>
    <t>U3-04</t>
  </si>
  <si>
    <t>Marginal rate of substitution (MRS)</t>
  </si>
  <si>
    <t>Willingness to trade</t>
  </si>
  <si>
    <t>U3-05</t>
  </si>
  <si>
    <t>Budget line equation + intercepts</t>
  </si>
  <si>
    <t>Relative price + opportunity cost</t>
  </si>
  <si>
    <t>U3-06</t>
  </si>
  <si>
    <t>Marginal rate of transformation (MRT)</t>
  </si>
  <si>
    <t>Constraint trade-off</t>
  </si>
  <si>
    <t>U3-07</t>
  </si>
  <si>
    <t>Optimal consumer choice</t>
  </si>
  <si>
    <t>Highest attainable IC</t>
  </si>
  <si>
    <t>U3-08</t>
  </si>
  <si>
    <t>MRS = MRT at optimum</t>
  </si>
  <si>
    <t>Exam wording</t>
  </si>
  <si>
    <t>U3-09</t>
  </si>
  <si>
    <t>Income effect</t>
  </si>
  <si>
    <t>Goods example</t>
  </si>
  <si>
    <t>U3-10</t>
  </si>
  <si>
    <t>Substitution effect</t>
  </si>
  <si>
    <t>U3-11</t>
  </si>
  <si>
    <t>Normal vs inferior goods</t>
  </si>
  <si>
    <t>Slides + scan</t>
  </si>
  <si>
    <t>Edge case</t>
  </si>
  <si>
    <t>U3-12</t>
  </si>
  <si>
    <t>Working hours and free time</t>
  </si>
  <si>
    <t>24-hour budget</t>
  </si>
  <si>
    <t>U3-13</t>
  </si>
  <si>
    <t>Feasible set + labour-supply equilibrium</t>
  </si>
  <si>
    <t>MRS = wage = MRT</t>
  </si>
  <si>
    <t>U3-14</t>
  </si>
  <si>
    <t>Technological progress + wage changes</t>
  </si>
  <si>
    <t>Income vs substitution for work</t>
  </si>
  <si>
    <t>U3-15</t>
  </si>
  <si>
    <t>Tutorial 3 logic + teach-back mastery</t>
  </si>
  <si>
    <t>Tutorial 3 + MegaPack</t>
  </si>
  <si>
    <t>Explain Lando vs Oscar aloud</t>
  </si>
  <si>
    <t>Session Log — use after each Unit 1 or Unit 2 study session</t>
  </si>
  <si>
    <t>Date</t>
  </si>
  <si>
    <t>Topic</t>
  </si>
  <si>
    <t>Method</t>
  </si>
  <si>
    <t>Minutes</t>
  </si>
  <si>
    <t>Could explain twice?</t>
  </si>
  <si>
    <t>Could teach someone else?</t>
  </si>
  <si>
    <t>Confidence after</t>
  </si>
  <si>
    <t>Next action</t>
  </si>
  <si>
    <t>Reflection</t>
  </si>
  <si>
    <t>Template topic</t>
  </si>
  <si>
    <t>Read + paper notes</t>
  </si>
  <si>
    <t>Repeat tomorrow</t>
  </si>
  <si>
    <t>Starter template row</t>
  </si>
  <si>
    <t>Teach-back</t>
  </si>
  <si>
    <t>Do again aloud</t>
  </si>
  <si>
    <t>Exam Toolkit — built-in answering frameworks</t>
  </si>
  <si>
    <t>Type</t>
  </si>
  <si>
    <t>Rule</t>
  </si>
  <si>
    <t>MCQ ELIMINATION</t>
  </si>
  <si>
    <t>T/F</t>
  </si>
  <si>
    <t>Because of negative marking, only answer when you can defend the statement against your notes.</t>
  </si>
  <si>
    <t>Eliminate definitions that are too broad</t>
  </si>
  <si>
    <t>MCQ</t>
  </si>
  <si>
    <t>Kill wrong answers first. Then justify the survivor with a definition, graph, or model.</t>
  </si>
  <si>
    <t>Test graph logic before wording</t>
  </si>
  <si>
    <t>Graph question</t>
  </si>
  <si>
    <t>State axes → describe pattern → explain mechanism → conclude why it matters.</t>
  </si>
  <si>
    <t>Compare the most precise option</t>
  </si>
  <si>
    <t>Descriptive</t>
  </si>
  <si>
    <t>Definition → mechanism → graph/model → result → caution/condition.</t>
  </si>
  <si>
    <t>Use tutorial wording as calibration</t>
  </si>
  <si>
    <t>If you cannot explain it aloud, you do not know it yet.</t>
  </si>
  <si>
    <t>If two seem right, one is usually less complete</t>
  </si>
  <si>
    <t>Tracker rule</t>
  </si>
  <si>
    <t>Move from Reading → Active recall → Teach-back → Revision → Done.</t>
  </si>
  <si>
    <t>GRAPH CHECKLIST</t>
  </si>
  <si>
    <t>DESCRIPTIVE ANSWER FRAME</t>
  </si>
  <si>
    <t>Name both axes</t>
  </si>
  <si>
    <t>Define the concept</t>
  </si>
  <si>
    <t>State what moves and what stays fixed</t>
  </si>
  <si>
    <t>State the mechanism</t>
  </si>
  <si>
    <t>Explain why the curve slopes that way</t>
  </si>
  <si>
    <t>Apply it to the model / graph</t>
  </si>
  <si>
    <t>Link the graph to the economic story</t>
  </si>
  <si>
    <t>Add one implication or limitation</t>
  </si>
  <si>
    <t>State the equilibrium / predicted effect</t>
  </si>
  <si>
    <t>Conclude in exam wording</t>
  </si>
  <si>
    <t>ECON 114 MegaPack System Template — How to Use</t>
  </si>
  <si>
    <t>Component</t>
  </si>
  <si>
    <t>Purpose</t>
  </si>
  <si>
    <t>Dashboard</t>
  </si>
  <si>
    <t>Big-picture progress + completion + confidence + readiness</t>
  </si>
  <si>
    <t>Unit Planner</t>
  </si>
  <si>
    <t>Master list of note sections and subtopics per unit</t>
  </si>
  <si>
    <t>Study Tracker</t>
  </si>
  <si>
    <t>Granular progress by topic, status, confidence, and source</t>
  </si>
  <si>
    <t>Session Log</t>
  </si>
  <si>
    <t>Track active recall / teach-back study sessions</t>
  </si>
  <si>
    <t>Exam Toolkit</t>
  </si>
  <si>
    <t>Built-in answer frameworks and checklists</t>
  </si>
  <si>
    <t>Purple → Dark Blue → Light Blue → Dark Green → Pastel Green → Pastel Yellow → Orange → Red → Pink</t>
  </si>
  <si>
    <t>Template use</t>
  </si>
  <si>
    <t>Duplicate rows for Unit 1 first, then Units 2–5 later</t>
  </si>
  <si>
    <t>Only populate from your uploaded textbook, slides, tutorials, and assessment scope</t>
  </si>
  <si>
    <t>Best workflow</t>
  </si>
  <si>
    <t>Read → paper notes → self-explain twice → teach another person → mark confidence</t>
  </si>
  <si>
    <t>Confidence</t>
  </si>
  <si>
    <t>Resource</t>
  </si>
  <si>
    <t>Reading</t>
  </si>
  <si>
    <t>Active recall</t>
  </si>
  <si>
    <t>Low</t>
  </si>
  <si>
    <t>Graph</t>
  </si>
  <si>
    <t>Past paper</t>
  </si>
  <si>
    <t>Parking Lot</t>
  </si>
  <si>
    <t>Own notes</t>
  </si>
  <si>
    <t>Revision</t>
  </si>
  <si>
    <t>Stuck</t>
  </si>
  <si>
    <t xml:space="preserve">Read out loud and explain.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</si>
</sst>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8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6D4CC2"/>
      </patternFill>
    </fill>
    <fill>
      <patternFill patternType="solid">
        <fgColor rgb="FF183A6B"/>
      </patternFill>
    </fill>
    <fill>
      <patternFill patternType="solid">
        <fgColor rgb="FFF4A261"/>
      </patternFill>
    </fill>
    <fill>
      <patternFill patternType="solid">
        <fgColor rgb="FF2E6B4A"/>
      </patternFill>
    </fill>
    <fill>
      <patternFill patternType="solid">
        <fgColor rgb="FFD55C5A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165" fontId="0" fillId="0" borderId="4" xfId="0" applyNumberFormat="1" applyBorder="1" applyAlignment="1">
      <alignment horizontal="left" vertical="center" wrapText="1"/>
    </xf>
    <xf numFmtId="165" fontId="0" fillId="0" borderId="6" xfId="0" applyNumberFormat="1" applyBorder="1" applyAlignment="1">
      <alignment horizontal="left" vertical="center" wrapText="1"/>
    </xf>
    <xf numFmtId="165" fontId="0" fillId="0" borderId="8" xfId="0" applyNumberForma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166" fontId="0" fillId="0" borderId="9" xfId="0" applyNumberFormat="1" applyBorder="1" applyAlignment="1">
      <alignment horizontal="left" vertical="center" wrapText="1"/>
    </xf>
    <xf numFmtId="166" fontId="0" fillId="0" borderId="10" xfId="0" applyNumberFormat="1" applyBorder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66" fontId="0" fillId="0" borderId="11" xfId="0" applyNumberFormat="1" applyBorder="1" applyAlignment="1">
      <alignment horizontal="left" vertical="center" wrapText="1"/>
    </xf>
    <xf numFmtId="9" fontId="0" fillId="0" borderId="7" xfId="0" applyNumberFormat="1" applyBorder="1" applyAlignment="1">
      <alignment horizontal="left" vertical="center" wrapText="1"/>
    </xf>
    <xf numFmtId="9" fontId="0" fillId="0" borderId="10" xfId="0" applyNumberFormat="1" applyBorder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9" fontId="0" fillId="0" borderId="11" xfId="0" applyNumberForma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AD4D4"/>
        </patternFill>
      </fill>
    </dxf>
    <dxf>
      <fill>
        <patternFill>
          <bgColor rgb="FFDDEF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Unit completion snapshot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topics</c:v>
          </c:tx>
          <c:invertIfNegative val="1"/>
          <c:cat>
            <c:strRef>
              <c:f>Dashboard!$A$11:$A$15</c:f>
              <c:strCache>
                <c:ptCount val="5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  <c:pt idx="4">
                  <c:v>Unit 5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3-964F-ACFB-FFED86DD990B}"/>
            </c:ext>
          </c:extLst>
        </c:ser>
        <c:ser>
          <c:idx val="1"/>
          <c:order val="1"/>
          <c:tx>
            <c:v>Done</c:v>
          </c:tx>
          <c:invertIfNegative val="1"/>
          <c:cat>
            <c:strRef>
              <c:f>Dashboard!$A$11:$A$15</c:f>
              <c:strCache>
                <c:ptCount val="5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  <c:pt idx="4">
                  <c:v>Unit 5</c:v>
                </c:pt>
              </c:strCache>
            </c:strRef>
          </c:cat>
          <c:val>
            <c:numRef>
              <c:f>Dashboard!$C$11:$C$15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3-964F-ACFB-FFED86DD990B}"/>
            </c:ext>
          </c:extLst>
        </c:ser>
        <c:ser>
          <c:idx val="2"/>
          <c:order val="2"/>
          <c:tx>
            <c:v>Completion %</c:v>
          </c:tx>
          <c:invertIfNegative val="1"/>
          <c:cat>
            <c:strRef>
              <c:f>Dashboard!$A$11:$A$15</c:f>
              <c:strCache>
                <c:ptCount val="5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  <c:pt idx="4">
                  <c:v>Unit 5</c:v>
                </c:pt>
              </c:strCache>
            </c:strRef>
          </c:cat>
          <c:val>
            <c:numRef>
              <c:f>Dashboard!$D$11:$D$15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83-964F-ACFB-FFED86DD9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tPlannerTable" displayName="UnitPlannerTable" ref="A3:J50">
  <tableColumns count="10">
    <tableColumn id="1" xr3:uid="{00000000-0010-0000-0000-000001000000}" name="Unit"/>
    <tableColumn id="2" xr3:uid="{00000000-0010-0000-0000-000002000000}" name="Order"/>
    <tableColumn id="3" xr3:uid="{00000000-0010-0000-0000-000003000000}" name="Section type"/>
    <tableColumn id="4" xr3:uid="{00000000-0010-0000-0000-000004000000}" name="Section / page block"/>
    <tableColumn id="5" xr3:uid="{00000000-0010-0000-0000-000005000000}" name="Subtopic"/>
    <tableColumn id="6" xr3:uid="{00000000-0010-0000-0000-000006000000}" name="Source"/>
    <tableColumn id="7" xr3:uid="{00000000-0010-0000-0000-000007000000}" name="Exam weight"/>
    <tableColumn id="8" xr3:uid="{00000000-0010-0000-0000-000008000000}" name="Need graph?"/>
    <tableColumn id="9" xr3:uid="{00000000-0010-0000-0000-000009000000}" name="Need worked answer?"/>
    <tableColumn id="10" xr3:uid="{00000000-0010-0000-0000-00000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essionLogTable" displayName="SessionLogTable" ref="A3:J80">
  <tableColumns count="10">
    <tableColumn id="1" xr3:uid="{00000000-0010-0000-0200-000001000000}" name="Date"/>
    <tableColumn id="2" xr3:uid="{00000000-0010-0000-0200-000002000000}" name="Unit"/>
    <tableColumn id="3" xr3:uid="{00000000-0010-0000-0200-000003000000}" name="Topic"/>
    <tableColumn id="4" xr3:uid="{00000000-0010-0000-0200-000004000000}" name="Method"/>
    <tableColumn id="5" xr3:uid="{00000000-0010-0000-0200-000005000000}" name="Minutes"/>
    <tableColumn id="6" xr3:uid="{00000000-0010-0000-0200-000006000000}" name="Could explain twice?"/>
    <tableColumn id="7" xr3:uid="{00000000-0010-0000-0200-000007000000}" name="Could teach someone else?"/>
    <tableColumn id="8" xr3:uid="{00000000-0010-0000-0200-000008000000}" name="Confidence after"/>
    <tableColumn id="9" xr3:uid="{00000000-0010-0000-0200-000009000000}" name="Next action"/>
    <tableColumn id="10" xr3:uid="{00000000-0010-0000-0200-00000A000000}" name="Refl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0"/>
  <sheetViews>
    <sheetView tabSelected="1" topLeftCell="A5" workbookViewId="0">
      <selection sqref="A1:I1"/>
    </sheetView>
  </sheetViews>
  <sheetFormatPr baseColWidth="10" defaultColWidth="8.83203125" defaultRowHeight="14"/>
  <cols>
    <col min="1" max="1" width="16" customWidth="1"/>
    <col min="2" max="4" width="12" customWidth="1"/>
    <col min="5" max="5" width="14" customWidth="1"/>
    <col min="6" max="9" width="18" customWidth="1"/>
  </cols>
  <sheetData>
    <row r="1" spans="1:26" ht="23">
      <c r="A1" s="36" t="s">
        <v>0</v>
      </c>
      <c r="B1" s="37"/>
      <c r="C1" s="37"/>
      <c r="D1" s="37"/>
      <c r="E1" s="37"/>
      <c r="F1" s="37"/>
      <c r="G1" s="37"/>
      <c r="H1" s="37"/>
      <c r="I1" s="38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48">
      <c r="A3" s="10" t="s">
        <v>1</v>
      </c>
      <c r="B3" s="11" t="s">
        <v>2</v>
      </c>
      <c r="C3" s="14"/>
      <c r="D3" s="14"/>
      <c r="E3" s="14"/>
      <c r="F3" s="14"/>
      <c r="G3" s="14"/>
      <c r="H3" s="12" t="s">
        <v>3</v>
      </c>
      <c r="I3" s="13" t="s">
        <v>4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6" t="s">
        <v>5</v>
      </c>
      <c r="B4" s="7">
        <f>COUNTA('Study Tracker'!$A$4:$A$200)</f>
        <v>37</v>
      </c>
      <c r="C4" s="14"/>
      <c r="D4" s="14"/>
      <c r="E4" s="14"/>
      <c r="F4" s="14"/>
      <c r="G4" s="14"/>
      <c r="H4" s="6" t="s">
        <v>6</v>
      </c>
      <c r="I4" s="7" t="s">
        <v>7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6" t="s">
        <v>8</v>
      </c>
      <c r="B5" s="7">
        <f>COUNTIF('Study Tracker'!$E$4:$E$200,"Done")</f>
        <v>0</v>
      </c>
      <c r="C5" s="14"/>
      <c r="D5" s="14"/>
      <c r="E5" s="14"/>
      <c r="F5" s="14"/>
      <c r="G5" s="14"/>
      <c r="H5" s="6" t="s">
        <v>9</v>
      </c>
      <c r="I5" s="7" t="s">
        <v>10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>
      <c r="A6" s="6" t="s">
        <v>11</v>
      </c>
      <c r="B6" s="32">
        <f>IF(B4=0,0,B5/B4)</f>
        <v>0</v>
      </c>
      <c r="C6" s="14"/>
      <c r="D6" s="14"/>
      <c r="E6" s="14"/>
      <c r="F6" s="14"/>
      <c r="G6" s="14"/>
      <c r="H6" s="6" t="s">
        <v>12</v>
      </c>
      <c r="I6" s="7" t="s">
        <v>13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">
      <c r="A7" s="8" t="s">
        <v>14</v>
      </c>
      <c r="B7" s="28">
        <f>IFERROR(AVERAGE('Study Tracker'!$F$4:$F$200),0)</f>
        <v>1</v>
      </c>
      <c r="C7" s="14"/>
      <c r="D7" s="14"/>
      <c r="E7" s="14"/>
      <c r="F7" s="14"/>
      <c r="G7" s="14"/>
      <c r="H7" s="6" t="s">
        <v>15</v>
      </c>
      <c r="I7" s="7" t="s">
        <v>16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">
      <c r="A8" s="14"/>
      <c r="B8" s="14"/>
      <c r="C8" s="14"/>
      <c r="D8" s="14"/>
      <c r="E8" s="14"/>
      <c r="F8" s="14"/>
      <c r="G8" s="14"/>
      <c r="H8" s="6" t="s">
        <v>17</v>
      </c>
      <c r="I8" s="7" t="s">
        <v>18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">
      <c r="A9" s="14"/>
      <c r="B9" s="14"/>
      <c r="C9" s="14"/>
      <c r="D9" s="14"/>
      <c r="E9" s="14"/>
      <c r="F9" s="14"/>
      <c r="G9" s="14"/>
      <c r="H9" s="6" t="s">
        <v>19</v>
      </c>
      <c r="I9" s="7" t="s">
        <v>20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32">
      <c r="A10" s="21" t="s">
        <v>21</v>
      </c>
      <c r="B10" s="22" t="s">
        <v>22</v>
      </c>
      <c r="C10" s="22" t="s">
        <v>23</v>
      </c>
      <c r="D10" s="22" t="s">
        <v>11</v>
      </c>
      <c r="E10" s="22" t="s">
        <v>14</v>
      </c>
      <c r="F10" s="23" t="s">
        <v>24</v>
      </c>
      <c r="G10" s="14"/>
      <c r="H10" s="6" t="s">
        <v>25</v>
      </c>
      <c r="I10" s="7" t="s">
        <v>26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>
      <c r="A11" s="4" t="s">
        <v>27</v>
      </c>
      <c r="B11" s="15">
        <f>COUNTIF('Study Tracker'!$B$4:$B$200,A11)</f>
        <v>10</v>
      </c>
      <c r="C11" s="15">
        <f>COUNTIFS('Study Tracker'!$B$4:$B$200,A11,'Study Tracker'!$E$4:$E$200,"Done")</f>
        <v>0</v>
      </c>
      <c r="D11" s="33">
        <f>IF(B11=0,0,C11/B11)</f>
        <v>0</v>
      </c>
      <c r="E11" s="29">
        <f>IFERROR(AVERAGEIF('Study Tracker'!$B$4:$B$200,A11,'Study Tracker'!$F$4:$F$200),0)</f>
        <v>1</v>
      </c>
      <c r="F11" s="5">
        <f>COUNTIFS('Study Tracker'!$B$4:$B$200,A11,'Study Tracker'!$E$4:$E$200,"&lt;&gt;Done",'Study Tracker'!$G$4:$G$200,"Critical")+COUNTIFS('Study Tracker'!$B$4:$B$200,A11,'Study Tracker'!$E$4:$E$200,"&lt;&gt;Done",'Study Tracker'!$G$4:$G$200,"High")</f>
        <v>10</v>
      </c>
      <c r="G11" s="14"/>
      <c r="H11" s="6" t="s">
        <v>28</v>
      </c>
      <c r="I11" s="7" t="s">
        <v>29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>
      <c r="A12" s="6" t="s">
        <v>30</v>
      </c>
      <c r="B12" s="16">
        <f>COUNTIF('Study Tracker'!$B$4:$B$200,A12)</f>
        <v>12</v>
      </c>
      <c r="C12" s="16">
        <f>COUNTIFS('Study Tracker'!$B$4:$B$200,A12,'Study Tracker'!$E$4:$E$200,"Done")</f>
        <v>0</v>
      </c>
      <c r="D12" s="34">
        <f>IF(B12=0,0,C12/B12)</f>
        <v>0</v>
      </c>
      <c r="E12" s="30">
        <f>IFERROR(AVERAGEIF('Study Tracker'!$B$4:$B$200,A12,'Study Tracker'!$F$4:$F$200),0)</f>
        <v>1</v>
      </c>
      <c r="F12" s="7">
        <f>COUNTIFS('Study Tracker'!$B$4:$B$200,A12,'Study Tracker'!$E$4:$E$200,"&lt;&gt;Done",'Study Tracker'!$G$4:$G$200,"Critical")+COUNTIFS('Study Tracker'!$B$4:$B$200,A12,'Study Tracker'!$E$4:$E$200,"&lt;&gt;Done",'Study Tracker'!$G$4:$G$200,"High")</f>
        <v>11</v>
      </c>
      <c r="G12" s="14"/>
      <c r="H12" s="8" t="s">
        <v>31</v>
      </c>
      <c r="I12" s="9" t="s">
        <v>32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45">
      <c r="A13" s="6" t="s">
        <v>33</v>
      </c>
      <c r="B13" s="16">
        <f>COUNTIF('Study Tracker'!$B$4:$B$200,A13)</f>
        <v>15</v>
      </c>
      <c r="C13" s="16">
        <f>COUNTIFS('Study Tracker'!$B$4:$B$200,A13,'Study Tracker'!$E$4:$E$200,"Done")</f>
        <v>0</v>
      </c>
      <c r="D13" s="34">
        <f>IF(B13=0,0,C13/B13)</f>
        <v>0</v>
      </c>
      <c r="E13" s="30">
        <f>IFERROR(AVERAGEIF('Study Tracker'!$B$4:$B$200,A13,'Study Tracker'!$F$4:$F$200),0)</f>
        <v>1</v>
      </c>
      <c r="F13" s="7">
        <f>COUNTIFS('Study Tracker'!$B$4:$B$200,A13,'Study Tracker'!$E$4:$E$200,"&lt;&gt;Done",'Study Tracker'!$G$4:$G$200,"Critical")+COUNTIFS('Study Tracker'!$B$4:$B$200,A13,'Study Tracker'!$E$4:$E$200,"&lt;&gt;Done",'Study Tracker'!$G$4:$G$200,"High")</f>
        <v>14</v>
      </c>
      <c r="G13" s="14"/>
      <c r="H13" s="14" t="s">
        <v>34</v>
      </c>
      <c r="I13" s="14" t="s">
        <v>35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30">
      <c r="A14" s="6" t="s">
        <v>36</v>
      </c>
      <c r="B14" s="16">
        <f>COUNTIF('Study Tracker'!$B$4:$B$200,A14)</f>
        <v>0</v>
      </c>
      <c r="C14" s="16">
        <f>COUNTIFS('Study Tracker'!$B$4:$B$200,A14,'Study Tracker'!$E$4:$E$200,"Done")</f>
        <v>0</v>
      </c>
      <c r="D14" s="34">
        <f>IF(B14=0,0,C14/B14)</f>
        <v>0</v>
      </c>
      <c r="E14" s="30">
        <f>IFERROR(AVERAGEIF('Study Tracker'!$B$4:$B$200,A14,'Study Tracker'!$F$4:$F$200),0)</f>
        <v>0</v>
      </c>
      <c r="F14" s="7">
        <f>COUNTIFS('Study Tracker'!$B$4:$B$200,A14,'Study Tracker'!$E$4:$E$200,"&lt;&gt;Done",'Study Tracker'!$G$4:$G$200,"Critical")+COUNTIFS('Study Tracker'!$B$4:$B$200,A14,'Study Tracker'!$E$4:$E$200,"&lt;&gt;Done",'Study Tracker'!$G$4:$G$200,"High")</f>
        <v>0</v>
      </c>
      <c r="G14" s="14"/>
      <c r="H14" s="14" t="s">
        <v>37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>
      <c r="A15" s="8" t="s">
        <v>38</v>
      </c>
      <c r="B15" s="17">
        <f>COUNTIF('Study Tracker'!$B$4:$B$200,A15)</f>
        <v>0</v>
      </c>
      <c r="C15" s="17">
        <f>COUNTIFS('Study Tracker'!$B$4:$B$200,A15,'Study Tracker'!$E$4:$E$200,"Done")</f>
        <v>0</v>
      </c>
      <c r="D15" s="35">
        <f>IF(B15=0,0,C15/B15)</f>
        <v>0</v>
      </c>
      <c r="E15" s="31">
        <f>IFERROR(AVERAGEIF('Study Tracker'!$B$4:$B$200,A15,'Study Tracker'!$F$4:$F$200),0)</f>
        <v>0</v>
      </c>
      <c r="F15" s="9">
        <f>COUNTIFS('Study Tracker'!$B$4:$B$200,A15,'Study Tracker'!$E$4:$E$200,"&lt;&gt;Done",'Study Tracker'!$G$4:$G$200,"Critical")+COUNTIFS('Study Tracker'!$B$4:$B$200,A15,'Study Tracker'!$E$4:$E$200,"&lt;&gt;Done",'Study Tracker'!$G$4:$G$200,"High")</f>
        <v>0</v>
      </c>
      <c r="G15" s="14"/>
      <c r="H15" s="14" t="s">
        <v>39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0"/>
  <sheetViews>
    <sheetView topLeftCell="A7" zoomScale="138" workbookViewId="0">
      <selection activeCell="F4" sqref="F4"/>
    </sheetView>
  </sheetViews>
  <sheetFormatPr baseColWidth="10" defaultColWidth="8.83203125" defaultRowHeight="14"/>
  <cols>
    <col min="1" max="1" width="12" customWidth="1"/>
    <col min="2" max="2" width="10" customWidth="1"/>
    <col min="3" max="3" width="18" customWidth="1"/>
    <col min="4" max="5" width="24" customWidth="1"/>
    <col min="6" max="6" width="18" customWidth="1"/>
    <col min="7" max="8" width="12" customWidth="1"/>
    <col min="9" max="9" width="16" customWidth="1"/>
    <col min="10" max="10" width="28" customWidth="1"/>
  </cols>
  <sheetData>
    <row r="1" spans="1:26" ht="21">
      <c r="A1" s="39" t="s">
        <v>40</v>
      </c>
      <c r="B1" s="40"/>
      <c r="C1" s="40"/>
      <c r="D1" s="40"/>
      <c r="E1" s="40"/>
      <c r="F1" s="40"/>
      <c r="G1" s="40"/>
      <c r="H1" s="40"/>
      <c r="I1" s="40"/>
      <c r="J1" s="41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2">
      <c r="A3" s="10" t="s">
        <v>21</v>
      </c>
      <c r="B3" s="24" t="s">
        <v>41</v>
      </c>
      <c r="C3" s="24" t="s">
        <v>42</v>
      </c>
      <c r="D3" s="24" t="s">
        <v>43</v>
      </c>
      <c r="E3" s="24" t="s">
        <v>44</v>
      </c>
      <c r="F3" s="24" t="s">
        <v>45</v>
      </c>
      <c r="G3" s="24" t="s">
        <v>46</v>
      </c>
      <c r="H3" s="24" t="s">
        <v>47</v>
      </c>
      <c r="I3" s="24" t="s">
        <v>48</v>
      </c>
      <c r="J3" s="11" t="s">
        <v>49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4" t="s">
        <v>27</v>
      </c>
      <c r="B4" s="15">
        <v>1</v>
      </c>
      <c r="C4" s="15" t="s">
        <v>50</v>
      </c>
      <c r="D4" s="15" t="s">
        <v>51</v>
      </c>
      <c r="E4" s="15" t="s">
        <v>52</v>
      </c>
      <c r="F4" s="15" t="s">
        <v>53</v>
      </c>
      <c r="G4" s="15" t="s">
        <v>54</v>
      </c>
      <c r="H4" s="15" t="s">
        <v>55</v>
      </c>
      <c r="I4" s="15" t="s">
        <v>55</v>
      </c>
      <c r="J4" s="5" t="s">
        <v>56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6" t="s">
        <v>27</v>
      </c>
      <c r="B5" s="16">
        <v>2</v>
      </c>
      <c r="C5" s="16" t="s">
        <v>57</v>
      </c>
      <c r="D5" s="16" t="s">
        <v>57</v>
      </c>
      <c r="E5" s="16" t="s">
        <v>58</v>
      </c>
      <c r="F5" s="16" t="s">
        <v>59</v>
      </c>
      <c r="G5" s="16" t="s">
        <v>54</v>
      </c>
      <c r="H5" s="16" t="s">
        <v>55</v>
      </c>
      <c r="I5" s="16" t="s">
        <v>60</v>
      </c>
      <c r="J5" s="7" t="s">
        <v>56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0">
      <c r="A6" s="6" t="s">
        <v>27</v>
      </c>
      <c r="B6" s="16">
        <v>3</v>
      </c>
      <c r="C6" s="16" t="s">
        <v>61</v>
      </c>
      <c r="D6" s="16" t="s">
        <v>62</v>
      </c>
      <c r="E6" s="16" t="s">
        <v>63</v>
      </c>
      <c r="F6" s="16" t="s">
        <v>59</v>
      </c>
      <c r="G6" s="16" t="s">
        <v>54</v>
      </c>
      <c r="H6" s="16" t="s">
        <v>55</v>
      </c>
      <c r="I6" s="16" t="s">
        <v>60</v>
      </c>
      <c r="J6" s="7" t="s">
        <v>56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30">
      <c r="A7" s="6" t="s">
        <v>27</v>
      </c>
      <c r="B7" s="16">
        <v>4</v>
      </c>
      <c r="C7" s="16" t="s">
        <v>64</v>
      </c>
      <c r="D7" s="16" t="s">
        <v>65</v>
      </c>
      <c r="E7" s="16" t="s">
        <v>66</v>
      </c>
      <c r="F7" s="16" t="s">
        <v>67</v>
      </c>
      <c r="G7" s="16" t="s">
        <v>54</v>
      </c>
      <c r="H7" s="16" t="s">
        <v>60</v>
      </c>
      <c r="I7" s="16" t="s">
        <v>60</v>
      </c>
      <c r="J7" s="7" t="s">
        <v>56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30">
      <c r="A8" s="6" t="s">
        <v>27</v>
      </c>
      <c r="B8" s="16">
        <v>5</v>
      </c>
      <c r="C8" s="16" t="s">
        <v>68</v>
      </c>
      <c r="D8" s="16" t="s">
        <v>69</v>
      </c>
      <c r="E8" s="16" t="s">
        <v>70</v>
      </c>
      <c r="F8" s="16" t="s">
        <v>71</v>
      </c>
      <c r="G8" s="16" t="s">
        <v>54</v>
      </c>
      <c r="H8" s="16" t="s">
        <v>55</v>
      </c>
      <c r="I8" s="16" t="s">
        <v>60</v>
      </c>
      <c r="J8" s="7" t="s">
        <v>56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">
      <c r="A9" s="6" t="s">
        <v>30</v>
      </c>
      <c r="B9" s="16">
        <v>1</v>
      </c>
      <c r="C9" s="16" t="s">
        <v>50</v>
      </c>
      <c r="D9" s="16" t="s">
        <v>51</v>
      </c>
      <c r="E9" s="16" t="s">
        <v>72</v>
      </c>
      <c r="F9" s="16" t="s">
        <v>67</v>
      </c>
      <c r="G9" s="16" t="s">
        <v>54</v>
      </c>
      <c r="H9" s="16" t="s">
        <v>55</v>
      </c>
      <c r="I9" s="16"/>
      <c r="J9" s="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>
      <c r="A10" s="6" t="s">
        <v>30</v>
      </c>
      <c r="B10" s="16">
        <v>2</v>
      </c>
      <c r="C10" s="16" t="s">
        <v>57</v>
      </c>
      <c r="D10" s="16" t="s">
        <v>57</v>
      </c>
      <c r="E10" s="16" t="s">
        <v>73</v>
      </c>
      <c r="F10" s="16" t="s">
        <v>67</v>
      </c>
      <c r="G10" s="16" t="s">
        <v>54</v>
      </c>
      <c r="H10" s="16" t="s">
        <v>55</v>
      </c>
      <c r="I10" s="16"/>
      <c r="J10" s="7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30">
      <c r="A11" s="6" t="s">
        <v>30</v>
      </c>
      <c r="B11" s="16">
        <v>3</v>
      </c>
      <c r="C11" s="16" t="s">
        <v>61</v>
      </c>
      <c r="D11" s="16" t="s">
        <v>62</v>
      </c>
      <c r="E11" s="16" t="s">
        <v>74</v>
      </c>
      <c r="F11" s="16" t="s">
        <v>59</v>
      </c>
      <c r="G11" s="16" t="s">
        <v>54</v>
      </c>
      <c r="H11" s="16" t="s">
        <v>55</v>
      </c>
      <c r="I11" s="16"/>
      <c r="J11" s="7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45">
      <c r="A12" s="6" t="s">
        <v>30</v>
      </c>
      <c r="B12" s="16">
        <v>4</v>
      </c>
      <c r="C12" s="16" t="s">
        <v>64</v>
      </c>
      <c r="D12" s="16" t="s">
        <v>65</v>
      </c>
      <c r="E12" s="16" t="s">
        <v>75</v>
      </c>
      <c r="F12" s="16" t="s">
        <v>67</v>
      </c>
      <c r="G12" s="16" t="s">
        <v>54</v>
      </c>
      <c r="H12" s="16" t="s">
        <v>60</v>
      </c>
      <c r="I12" s="16"/>
      <c r="J12" s="7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30">
      <c r="A13" s="6" t="s">
        <v>30</v>
      </c>
      <c r="B13" s="16">
        <v>5</v>
      </c>
      <c r="C13" s="16" t="s">
        <v>68</v>
      </c>
      <c r="D13" s="16" t="s">
        <v>69</v>
      </c>
      <c r="E13" s="16" t="s">
        <v>76</v>
      </c>
      <c r="F13" s="16" t="s">
        <v>67</v>
      </c>
      <c r="G13" s="16" t="s">
        <v>54</v>
      </c>
      <c r="H13" s="16" t="s">
        <v>55</v>
      </c>
      <c r="I13" s="16"/>
      <c r="J13" s="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>
      <c r="A14" s="6" t="s">
        <v>33</v>
      </c>
      <c r="B14" s="16">
        <v>1</v>
      </c>
      <c r="C14" s="16" t="s">
        <v>50</v>
      </c>
      <c r="D14" s="16" t="s">
        <v>51</v>
      </c>
      <c r="E14" s="16" t="s">
        <v>77</v>
      </c>
      <c r="F14" s="16" t="s">
        <v>53</v>
      </c>
      <c r="G14" s="16" t="s">
        <v>54</v>
      </c>
      <c r="H14" s="16" t="s">
        <v>55</v>
      </c>
      <c r="I14" s="16" t="s">
        <v>55</v>
      </c>
      <c r="J14" s="7" t="s">
        <v>78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>
      <c r="A15" s="6" t="s">
        <v>33</v>
      </c>
      <c r="B15" s="16">
        <v>2</v>
      </c>
      <c r="C15" s="16" t="s">
        <v>57</v>
      </c>
      <c r="D15" s="16" t="s">
        <v>57</v>
      </c>
      <c r="E15" s="16" t="s">
        <v>79</v>
      </c>
      <c r="F15" s="16" t="s">
        <v>80</v>
      </c>
      <c r="G15" s="16" t="s">
        <v>54</v>
      </c>
      <c r="H15" s="16" t="s">
        <v>55</v>
      </c>
      <c r="I15" s="16" t="s">
        <v>60</v>
      </c>
      <c r="J15" s="7" t="s">
        <v>81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45">
      <c r="A16" s="6" t="s">
        <v>33</v>
      </c>
      <c r="B16" s="16">
        <v>3</v>
      </c>
      <c r="C16" s="16" t="s">
        <v>61</v>
      </c>
      <c r="D16" s="16" t="s">
        <v>62</v>
      </c>
      <c r="E16" s="16" t="s">
        <v>82</v>
      </c>
      <c r="F16" s="16" t="s">
        <v>83</v>
      </c>
      <c r="G16" s="16" t="s">
        <v>54</v>
      </c>
      <c r="H16" s="16" t="s">
        <v>55</v>
      </c>
      <c r="I16" s="16" t="s">
        <v>60</v>
      </c>
      <c r="J16" s="7" t="s">
        <v>84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30">
      <c r="A17" s="6" t="s">
        <v>33</v>
      </c>
      <c r="B17" s="16">
        <v>4</v>
      </c>
      <c r="C17" s="16" t="s">
        <v>64</v>
      </c>
      <c r="D17" s="16" t="s">
        <v>65</v>
      </c>
      <c r="E17" s="16" t="s">
        <v>85</v>
      </c>
      <c r="F17" s="16" t="s">
        <v>80</v>
      </c>
      <c r="G17" s="16" t="s">
        <v>54</v>
      </c>
      <c r="H17" s="16" t="s">
        <v>60</v>
      </c>
      <c r="I17" s="16" t="s">
        <v>60</v>
      </c>
      <c r="J17" s="7" t="s">
        <v>86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0">
      <c r="A18" s="6" t="s">
        <v>33</v>
      </c>
      <c r="B18" s="16">
        <v>5</v>
      </c>
      <c r="C18" s="16" t="s">
        <v>68</v>
      </c>
      <c r="D18" s="16" t="s">
        <v>69</v>
      </c>
      <c r="E18" s="16" t="s">
        <v>87</v>
      </c>
      <c r="F18" s="16" t="s">
        <v>88</v>
      </c>
      <c r="G18" s="16" t="s">
        <v>54</v>
      </c>
      <c r="H18" s="16" t="s">
        <v>55</v>
      </c>
      <c r="I18" s="16" t="s">
        <v>60</v>
      </c>
      <c r="J18" s="7" t="s">
        <v>89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6"/>
      <c r="B19" s="16"/>
      <c r="C19" s="16"/>
      <c r="D19" s="16"/>
      <c r="E19" s="16"/>
      <c r="F19" s="16"/>
      <c r="G19" s="16"/>
      <c r="H19" s="16"/>
      <c r="I19" s="16"/>
      <c r="J19" s="7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6"/>
      <c r="B20" s="16"/>
      <c r="C20" s="16"/>
      <c r="D20" s="16"/>
      <c r="E20" s="16"/>
      <c r="F20" s="16"/>
      <c r="G20" s="16"/>
      <c r="H20" s="16"/>
      <c r="I20" s="16"/>
      <c r="J20" s="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6"/>
      <c r="B21" s="16"/>
      <c r="C21" s="16"/>
      <c r="D21" s="16"/>
      <c r="E21" s="16"/>
      <c r="F21" s="16"/>
      <c r="G21" s="16"/>
      <c r="H21" s="16"/>
      <c r="I21" s="16"/>
      <c r="J21" s="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6"/>
      <c r="B22" s="16"/>
      <c r="C22" s="16"/>
      <c r="D22" s="16"/>
      <c r="E22" s="16"/>
      <c r="F22" s="16"/>
      <c r="G22" s="16"/>
      <c r="H22" s="16"/>
      <c r="I22" s="16"/>
      <c r="J22" s="7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6"/>
      <c r="B23" s="16"/>
      <c r="C23" s="16"/>
      <c r="D23" s="16"/>
      <c r="E23" s="16"/>
      <c r="F23" s="16"/>
      <c r="G23" s="16"/>
      <c r="H23" s="16"/>
      <c r="I23" s="16"/>
      <c r="J23" s="7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6"/>
      <c r="B24" s="16"/>
      <c r="C24" s="16"/>
      <c r="D24" s="16"/>
      <c r="E24" s="16"/>
      <c r="F24" s="16"/>
      <c r="G24" s="16"/>
      <c r="H24" s="16"/>
      <c r="I24" s="16"/>
      <c r="J24" s="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6"/>
      <c r="B25" s="16"/>
      <c r="C25" s="16"/>
      <c r="D25" s="16"/>
      <c r="E25" s="16"/>
      <c r="F25" s="16"/>
      <c r="G25" s="16"/>
      <c r="H25" s="16"/>
      <c r="I25" s="16"/>
      <c r="J25" s="7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6"/>
      <c r="B26" s="16"/>
      <c r="C26" s="16"/>
      <c r="D26" s="16"/>
      <c r="E26" s="16"/>
      <c r="F26" s="16"/>
      <c r="G26" s="16"/>
      <c r="H26" s="16"/>
      <c r="I26" s="16"/>
      <c r="J26" s="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6"/>
      <c r="B27" s="16"/>
      <c r="C27" s="16"/>
      <c r="D27" s="16"/>
      <c r="E27" s="16"/>
      <c r="F27" s="16"/>
      <c r="G27" s="16"/>
      <c r="H27" s="16"/>
      <c r="I27" s="16"/>
      <c r="J27" s="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6"/>
      <c r="B28" s="16"/>
      <c r="C28" s="16"/>
      <c r="D28" s="16"/>
      <c r="E28" s="16"/>
      <c r="F28" s="16"/>
      <c r="G28" s="16"/>
      <c r="H28" s="16"/>
      <c r="I28" s="16"/>
      <c r="J28" s="7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6"/>
      <c r="B29" s="16"/>
      <c r="C29" s="16"/>
      <c r="D29" s="16"/>
      <c r="E29" s="16"/>
      <c r="F29" s="16"/>
      <c r="G29" s="16"/>
      <c r="H29" s="16"/>
      <c r="I29" s="16"/>
      <c r="J29" s="7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6"/>
      <c r="B30" s="16"/>
      <c r="C30" s="16"/>
      <c r="D30" s="16"/>
      <c r="E30" s="16"/>
      <c r="F30" s="16"/>
      <c r="G30" s="16"/>
      <c r="H30" s="16"/>
      <c r="I30" s="16"/>
      <c r="J30" s="7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6"/>
      <c r="B31" s="16"/>
      <c r="C31" s="16"/>
      <c r="D31" s="16"/>
      <c r="E31" s="16"/>
      <c r="F31" s="16"/>
      <c r="G31" s="16"/>
      <c r="H31" s="16"/>
      <c r="I31" s="16"/>
      <c r="J31" s="7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6"/>
      <c r="B32" s="16"/>
      <c r="C32" s="16"/>
      <c r="D32" s="16"/>
      <c r="E32" s="16"/>
      <c r="F32" s="16"/>
      <c r="G32" s="16"/>
      <c r="H32" s="16"/>
      <c r="I32" s="16"/>
      <c r="J32" s="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6"/>
      <c r="B33" s="16"/>
      <c r="C33" s="16"/>
      <c r="D33" s="16"/>
      <c r="E33" s="16"/>
      <c r="F33" s="16"/>
      <c r="G33" s="16"/>
      <c r="H33" s="16"/>
      <c r="I33" s="16"/>
      <c r="J33" s="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6"/>
      <c r="B34" s="16"/>
      <c r="C34" s="16"/>
      <c r="D34" s="16"/>
      <c r="E34" s="16"/>
      <c r="F34" s="16"/>
      <c r="G34" s="16"/>
      <c r="H34" s="16"/>
      <c r="I34" s="16"/>
      <c r="J34" s="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6"/>
      <c r="B35" s="16"/>
      <c r="C35" s="16"/>
      <c r="D35" s="16"/>
      <c r="E35" s="16"/>
      <c r="F35" s="16"/>
      <c r="G35" s="16"/>
      <c r="H35" s="16"/>
      <c r="I35" s="16"/>
      <c r="J35" s="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6"/>
      <c r="B36" s="16"/>
      <c r="C36" s="16"/>
      <c r="D36" s="16"/>
      <c r="E36" s="16"/>
      <c r="F36" s="16"/>
      <c r="G36" s="16"/>
      <c r="H36" s="16"/>
      <c r="I36" s="16"/>
      <c r="J36" s="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6"/>
      <c r="B37" s="16"/>
      <c r="C37" s="16"/>
      <c r="D37" s="16"/>
      <c r="E37" s="16"/>
      <c r="F37" s="16"/>
      <c r="G37" s="16"/>
      <c r="H37" s="16"/>
      <c r="I37" s="16"/>
      <c r="J37" s="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6"/>
      <c r="B38" s="16"/>
      <c r="C38" s="16"/>
      <c r="D38" s="16"/>
      <c r="E38" s="16"/>
      <c r="F38" s="16"/>
      <c r="G38" s="16"/>
      <c r="H38" s="16"/>
      <c r="I38" s="16"/>
      <c r="J38" s="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6"/>
      <c r="B39" s="16"/>
      <c r="C39" s="16"/>
      <c r="D39" s="16"/>
      <c r="E39" s="16"/>
      <c r="F39" s="16"/>
      <c r="G39" s="16"/>
      <c r="H39" s="16"/>
      <c r="I39" s="16"/>
      <c r="J39" s="7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6"/>
      <c r="B40" s="16"/>
      <c r="C40" s="16"/>
      <c r="D40" s="16"/>
      <c r="E40" s="16"/>
      <c r="F40" s="16"/>
      <c r="G40" s="16"/>
      <c r="H40" s="16"/>
      <c r="I40" s="16"/>
      <c r="J40" s="7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6"/>
      <c r="B41" s="16"/>
      <c r="C41" s="16"/>
      <c r="D41" s="16"/>
      <c r="E41" s="16"/>
      <c r="F41" s="16"/>
      <c r="G41" s="16"/>
      <c r="H41" s="16"/>
      <c r="I41" s="16"/>
      <c r="J41" s="7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6"/>
      <c r="B42" s="16"/>
      <c r="C42" s="16"/>
      <c r="D42" s="16"/>
      <c r="E42" s="16"/>
      <c r="F42" s="16"/>
      <c r="G42" s="16"/>
      <c r="H42" s="16"/>
      <c r="I42" s="16"/>
      <c r="J42" s="7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6"/>
      <c r="B43" s="16"/>
      <c r="C43" s="16"/>
      <c r="D43" s="16"/>
      <c r="E43" s="16"/>
      <c r="F43" s="16"/>
      <c r="G43" s="16"/>
      <c r="H43" s="16"/>
      <c r="I43" s="16"/>
      <c r="J43" s="7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6"/>
      <c r="B44" s="16"/>
      <c r="C44" s="16"/>
      <c r="D44" s="16"/>
      <c r="E44" s="16"/>
      <c r="F44" s="16"/>
      <c r="G44" s="16"/>
      <c r="H44" s="16"/>
      <c r="I44" s="16"/>
      <c r="J44" s="7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6"/>
      <c r="B45" s="16"/>
      <c r="C45" s="16"/>
      <c r="D45" s="16"/>
      <c r="E45" s="16"/>
      <c r="F45" s="16"/>
      <c r="G45" s="16"/>
      <c r="H45" s="16"/>
      <c r="I45" s="16"/>
      <c r="J45" s="7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6"/>
      <c r="B46" s="16"/>
      <c r="C46" s="16"/>
      <c r="D46" s="16"/>
      <c r="E46" s="16"/>
      <c r="F46" s="16"/>
      <c r="G46" s="16"/>
      <c r="H46" s="16"/>
      <c r="I46" s="16"/>
      <c r="J46" s="7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6"/>
      <c r="B47" s="16"/>
      <c r="C47" s="16"/>
      <c r="D47" s="16"/>
      <c r="E47" s="16"/>
      <c r="F47" s="16"/>
      <c r="G47" s="16"/>
      <c r="H47" s="16"/>
      <c r="I47" s="16"/>
      <c r="J47" s="7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6"/>
      <c r="B48" s="16"/>
      <c r="C48" s="16"/>
      <c r="D48" s="16"/>
      <c r="E48" s="16"/>
      <c r="F48" s="16"/>
      <c r="G48" s="16"/>
      <c r="H48" s="16"/>
      <c r="I48" s="16"/>
      <c r="J48" s="7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6"/>
      <c r="B49" s="16"/>
      <c r="C49" s="16"/>
      <c r="D49" s="16"/>
      <c r="E49" s="16"/>
      <c r="F49" s="16"/>
      <c r="G49" s="16"/>
      <c r="H49" s="16"/>
      <c r="I49" s="16"/>
      <c r="J49" s="7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6"/>
      <c r="B50" s="16"/>
      <c r="C50" s="16"/>
      <c r="D50" s="16"/>
      <c r="E50" s="16"/>
      <c r="F50" s="16"/>
      <c r="G50" s="16"/>
      <c r="H50" s="16"/>
      <c r="I50" s="16"/>
      <c r="J50" s="7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6"/>
      <c r="B51" s="16"/>
      <c r="C51" s="16"/>
      <c r="D51" s="16"/>
      <c r="E51" s="16"/>
      <c r="F51" s="16"/>
      <c r="G51" s="16"/>
      <c r="H51" s="16"/>
      <c r="I51" s="16"/>
      <c r="J51" s="7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6"/>
      <c r="B52" s="16"/>
      <c r="C52" s="16"/>
      <c r="D52" s="16"/>
      <c r="E52" s="16"/>
      <c r="F52" s="16"/>
      <c r="G52" s="16"/>
      <c r="H52" s="16"/>
      <c r="I52" s="16"/>
      <c r="J52" s="7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6"/>
      <c r="B53" s="16"/>
      <c r="C53" s="16"/>
      <c r="D53" s="16"/>
      <c r="E53" s="16"/>
      <c r="F53" s="16"/>
      <c r="G53" s="16"/>
      <c r="H53" s="16"/>
      <c r="I53" s="16"/>
      <c r="J53" s="7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6"/>
      <c r="B54" s="16"/>
      <c r="C54" s="16"/>
      <c r="D54" s="16"/>
      <c r="E54" s="16"/>
      <c r="F54" s="16"/>
      <c r="G54" s="16"/>
      <c r="H54" s="16"/>
      <c r="I54" s="16"/>
      <c r="J54" s="7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6"/>
      <c r="B55" s="16"/>
      <c r="C55" s="16"/>
      <c r="D55" s="16"/>
      <c r="E55" s="16"/>
      <c r="F55" s="16"/>
      <c r="G55" s="16"/>
      <c r="H55" s="16"/>
      <c r="I55" s="16"/>
      <c r="J55" s="7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6"/>
      <c r="B56" s="16"/>
      <c r="C56" s="16"/>
      <c r="D56" s="16"/>
      <c r="E56" s="16"/>
      <c r="F56" s="16"/>
      <c r="G56" s="16"/>
      <c r="H56" s="16"/>
      <c r="I56" s="16"/>
      <c r="J56" s="7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6"/>
      <c r="B57" s="16"/>
      <c r="C57" s="16"/>
      <c r="D57" s="16"/>
      <c r="E57" s="16"/>
      <c r="F57" s="16"/>
      <c r="G57" s="16"/>
      <c r="H57" s="16"/>
      <c r="I57" s="16"/>
      <c r="J57" s="7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6"/>
      <c r="B58" s="16"/>
      <c r="C58" s="16"/>
      <c r="D58" s="16"/>
      <c r="E58" s="16"/>
      <c r="F58" s="16"/>
      <c r="G58" s="16"/>
      <c r="H58" s="16"/>
      <c r="I58" s="16"/>
      <c r="J58" s="7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6"/>
      <c r="B59" s="16"/>
      <c r="C59" s="16"/>
      <c r="D59" s="16"/>
      <c r="E59" s="16"/>
      <c r="F59" s="16"/>
      <c r="G59" s="16"/>
      <c r="H59" s="16"/>
      <c r="I59" s="16"/>
      <c r="J59" s="7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6"/>
      <c r="B60" s="16"/>
      <c r="C60" s="16"/>
      <c r="D60" s="16"/>
      <c r="E60" s="16"/>
      <c r="F60" s="16"/>
      <c r="G60" s="16"/>
      <c r="H60" s="16"/>
      <c r="I60" s="16"/>
      <c r="J60" s="7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6"/>
      <c r="B61" s="16"/>
      <c r="C61" s="16"/>
      <c r="D61" s="16"/>
      <c r="E61" s="16"/>
      <c r="F61" s="16"/>
      <c r="G61" s="16"/>
      <c r="H61" s="16"/>
      <c r="I61" s="16"/>
      <c r="J61" s="7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6"/>
      <c r="B62" s="16"/>
      <c r="C62" s="16"/>
      <c r="D62" s="16"/>
      <c r="E62" s="16"/>
      <c r="F62" s="16"/>
      <c r="G62" s="16"/>
      <c r="H62" s="16"/>
      <c r="I62" s="16"/>
      <c r="J62" s="7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6"/>
      <c r="B63" s="16"/>
      <c r="C63" s="16"/>
      <c r="D63" s="16"/>
      <c r="E63" s="16"/>
      <c r="F63" s="16"/>
      <c r="G63" s="16"/>
      <c r="H63" s="16"/>
      <c r="I63" s="16"/>
      <c r="J63" s="7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6"/>
      <c r="B64" s="16"/>
      <c r="C64" s="16"/>
      <c r="D64" s="16"/>
      <c r="E64" s="16"/>
      <c r="F64" s="16"/>
      <c r="G64" s="16"/>
      <c r="H64" s="16"/>
      <c r="I64" s="16"/>
      <c r="J64" s="7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6"/>
      <c r="B65" s="16"/>
      <c r="C65" s="16"/>
      <c r="D65" s="16"/>
      <c r="E65" s="16"/>
      <c r="F65" s="16"/>
      <c r="G65" s="16"/>
      <c r="H65" s="16"/>
      <c r="I65" s="16"/>
      <c r="J65" s="7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6"/>
      <c r="B66" s="16"/>
      <c r="C66" s="16"/>
      <c r="D66" s="16"/>
      <c r="E66" s="16"/>
      <c r="F66" s="16"/>
      <c r="G66" s="16"/>
      <c r="H66" s="16"/>
      <c r="I66" s="16"/>
      <c r="J66" s="7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6"/>
      <c r="B67" s="16"/>
      <c r="C67" s="16"/>
      <c r="D67" s="16"/>
      <c r="E67" s="16"/>
      <c r="F67" s="16"/>
      <c r="G67" s="16"/>
      <c r="H67" s="16"/>
      <c r="I67" s="16"/>
      <c r="J67" s="7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6"/>
      <c r="B68" s="16"/>
      <c r="C68" s="16"/>
      <c r="D68" s="16"/>
      <c r="E68" s="16"/>
      <c r="F68" s="16"/>
      <c r="G68" s="16"/>
      <c r="H68" s="16"/>
      <c r="I68" s="16"/>
      <c r="J68" s="7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6"/>
      <c r="B69" s="16"/>
      <c r="C69" s="16"/>
      <c r="D69" s="16"/>
      <c r="E69" s="16"/>
      <c r="F69" s="16"/>
      <c r="G69" s="16"/>
      <c r="H69" s="16"/>
      <c r="I69" s="16"/>
      <c r="J69" s="7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6"/>
      <c r="B70" s="16"/>
      <c r="C70" s="16"/>
      <c r="D70" s="16"/>
      <c r="E70" s="16"/>
      <c r="F70" s="16"/>
      <c r="G70" s="16"/>
      <c r="H70" s="16"/>
      <c r="I70" s="16"/>
      <c r="J70" s="7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6"/>
      <c r="B71" s="16"/>
      <c r="C71" s="16"/>
      <c r="D71" s="16"/>
      <c r="E71" s="16"/>
      <c r="F71" s="16"/>
      <c r="G71" s="16"/>
      <c r="H71" s="16"/>
      <c r="I71" s="16"/>
      <c r="J71" s="7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6"/>
      <c r="B72" s="16"/>
      <c r="C72" s="16"/>
      <c r="D72" s="16"/>
      <c r="E72" s="16"/>
      <c r="F72" s="16"/>
      <c r="G72" s="16"/>
      <c r="H72" s="16"/>
      <c r="I72" s="16"/>
      <c r="J72" s="7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6"/>
      <c r="B73" s="16"/>
      <c r="C73" s="16"/>
      <c r="D73" s="16"/>
      <c r="E73" s="16"/>
      <c r="F73" s="16"/>
      <c r="G73" s="16"/>
      <c r="H73" s="16"/>
      <c r="I73" s="16"/>
      <c r="J73" s="7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6"/>
      <c r="B74" s="16"/>
      <c r="C74" s="16"/>
      <c r="D74" s="16"/>
      <c r="E74" s="16"/>
      <c r="F74" s="16"/>
      <c r="G74" s="16"/>
      <c r="H74" s="16"/>
      <c r="I74" s="16"/>
      <c r="J74" s="7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6"/>
      <c r="B75" s="16"/>
      <c r="C75" s="16"/>
      <c r="D75" s="16"/>
      <c r="E75" s="16"/>
      <c r="F75" s="16"/>
      <c r="G75" s="16"/>
      <c r="H75" s="16"/>
      <c r="I75" s="16"/>
      <c r="J75" s="7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6"/>
      <c r="B76" s="16"/>
      <c r="C76" s="16"/>
      <c r="D76" s="16"/>
      <c r="E76" s="16"/>
      <c r="F76" s="16"/>
      <c r="G76" s="16"/>
      <c r="H76" s="16"/>
      <c r="I76" s="16"/>
      <c r="J76" s="7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6"/>
      <c r="B77" s="16"/>
      <c r="C77" s="16"/>
      <c r="D77" s="16"/>
      <c r="E77" s="16"/>
      <c r="F77" s="16"/>
      <c r="G77" s="16"/>
      <c r="H77" s="16"/>
      <c r="I77" s="16"/>
      <c r="J77" s="7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6"/>
      <c r="B78" s="16"/>
      <c r="C78" s="16"/>
      <c r="D78" s="16"/>
      <c r="E78" s="16"/>
      <c r="F78" s="16"/>
      <c r="G78" s="16"/>
      <c r="H78" s="16"/>
      <c r="I78" s="16"/>
      <c r="J78" s="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6"/>
      <c r="B79" s="16"/>
      <c r="C79" s="16"/>
      <c r="D79" s="16"/>
      <c r="E79" s="16"/>
      <c r="F79" s="16"/>
      <c r="G79" s="16"/>
      <c r="H79" s="16"/>
      <c r="I79" s="16"/>
      <c r="J79" s="7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6"/>
      <c r="B80" s="16"/>
      <c r="C80" s="16"/>
      <c r="D80" s="16"/>
      <c r="E80" s="16"/>
      <c r="F80" s="16"/>
      <c r="G80" s="16"/>
      <c r="H80" s="16"/>
      <c r="I80" s="16"/>
      <c r="J80" s="7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6"/>
      <c r="B81" s="16"/>
      <c r="C81" s="16"/>
      <c r="D81" s="16"/>
      <c r="E81" s="16"/>
      <c r="F81" s="16"/>
      <c r="G81" s="16"/>
      <c r="H81" s="16"/>
      <c r="I81" s="16"/>
      <c r="J81" s="7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6"/>
      <c r="B82" s="16"/>
      <c r="C82" s="16"/>
      <c r="D82" s="16"/>
      <c r="E82" s="16"/>
      <c r="F82" s="16"/>
      <c r="G82" s="16"/>
      <c r="H82" s="16"/>
      <c r="I82" s="16"/>
      <c r="J82" s="7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6"/>
      <c r="B83" s="16"/>
      <c r="C83" s="16"/>
      <c r="D83" s="16"/>
      <c r="E83" s="16"/>
      <c r="F83" s="16"/>
      <c r="G83" s="16"/>
      <c r="H83" s="16"/>
      <c r="I83" s="16"/>
      <c r="J83" s="7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6"/>
      <c r="B84" s="16"/>
      <c r="C84" s="16"/>
      <c r="D84" s="16"/>
      <c r="E84" s="16"/>
      <c r="F84" s="16"/>
      <c r="G84" s="16"/>
      <c r="H84" s="16"/>
      <c r="I84" s="16"/>
      <c r="J84" s="7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6"/>
      <c r="B85" s="16"/>
      <c r="C85" s="16"/>
      <c r="D85" s="16"/>
      <c r="E85" s="16"/>
      <c r="F85" s="16"/>
      <c r="G85" s="16"/>
      <c r="H85" s="16"/>
      <c r="I85" s="16"/>
      <c r="J85" s="7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6"/>
      <c r="B86" s="16"/>
      <c r="C86" s="16"/>
      <c r="D86" s="16"/>
      <c r="E86" s="16"/>
      <c r="F86" s="16"/>
      <c r="G86" s="16"/>
      <c r="H86" s="16"/>
      <c r="I86" s="16"/>
      <c r="J86" s="7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6"/>
      <c r="B87" s="16"/>
      <c r="C87" s="16"/>
      <c r="D87" s="16"/>
      <c r="E87" s="16"/>
      <c r="F87" s="16"/>
      <c r="G87" s="16"/>
      <c r="H87" s="16"/>
      <c r="I87" s="16"/>
      <c r="J87" s="7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6"/>
      <c r="B88" s="16"/>
      <c r="C88" s="16"/>
      <c r="D88" s="16"/>
      <c r="E88" s="16"/>
      <c r="F88" s="16"/>
      <c r="G88" s="16"/>
      <c r="H88" s="16"/>
      <c r="I88" s="16"/>
      <c r="J88" s="7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6"/>
      <c r="B89" s="16"/>
      <c r="C89" s="16"/>
      <c r="D89" s="16"/>
      <c r="E89" s="16"/>
      <c r="F89" s="16"/>
      <c r="G89" s="16"/>
      <c r="H89" s="16"/>
      <c r="I89" s="16"/>
      <c r="J89" s="7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6"/>
      <c r="B90" s="16"/>
      <c r="C90" s="16"/>
      <c r="D90" s="16"/>
      <c r="E90" s="16"/>
      <c r="F90" s="16"/>
      <c r="G90" s="16"/>
      <c r="H90" s="16"/>
      <c r="I90" s="16"/>
      <c r="J90" s="7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6"/>
      <c r="B91" s="16"/>
      <c r="C91" s="16"/>
      <c r="D91" s="16"/>
      <c r="E91" s="16"/>
      <c r="F91" s="16"/>
      <c r="G91" s="16"/>
      <c r="H91" s="16"/>
      <c r="I91" s="16"/>
      <c r="J91" s="7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6"/>
      <c r="B92" s="16"/>
      <c r="C92" s="16"/>
      <c r="D92" s="16"/>
      <c r="E92" s="16"/>
      <c r="F92" s="16"/>
      <c r="G92" s="16"/>
      <c r="H92" s="16"/>
      <c r="I92" s="16"/>
      <c r="J92" s="7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6"/>
      <c r="B93" s="16"/>
      <c r="C93" s="16"/>
      <c r="D93" s="16"/>
      <c r="E93" s="16"/>
      <c r="F93" s="16"/>
      <c r="G93" s="16"/>
      <c r="H93" s="16"/>
      <c r="I93" s="16"/>
      <c r="J93" s="7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6"/>
      <c r="B94" s="16"/>
      <c r="C94" s="16"/>
      <c r="D94" s="16"/>
      <c r="E94" s="16"/>
      <c r="F94" s="16"/>
      <c r="G94" s="16"/>
      <c r="H94" s="16"/>
      <c r="I94" s="16"/>
      <c r="J94" s="7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6"/>
      <c r="B95" s="16"/>
      <c r="C95" s="16"/>
      <c r="D95" s="16"/>
      <c r="E95" s="16"/>
      <c r="F95" s="16"/>
      <c r="G95" s="16"/>
      <c r="H95" s="16"/>
      <c r="I95" s="16"/>
      <c r="J95" s="7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6"/>
      <c r="B96" s="16"/>
      <c r="C96" s="16"/>
      <c r="D96" s="16"/>
      <c r="E96" s="16"/>
      <c r="F96" s="16"/>
      <c r="G96" s="16"/>
      <c r="H96" s="16"/>
      <c r="I96" s="16"/>
      <c r="J96" s="7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6"/>
      <c r="B97" s="16"/>
      <c r="C97" s="16"/>
      <c r="D97" s="16"/>
      <c r="E97" s="16"/>
      <c r="F97" s="16"/>
      <c r="G97" s="16"/>
      <c r="H97" s="16"/>
      <c r="I97" s="16"/>
      <c r="J97" s="7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6"/>
      <c r="B98" s="16"/>
      <c r="C98" s="16"/>
      <c r="D98" s="16"/>
      <c r="E98" s="16"/>
      <c r="F98" s="16"/>
      <c r="G98" s="16"/>
      <c r="H98" s="16"/>
      <c r="I98" s="16"/>
      <c r="J98" s="7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6"/>
      <c r="B99" s="16"/>
      <c r="C99" s="16"/>
      <c r="D99" s="16"/>
      <c r="E99" s="16"/>
      <c r="F99" s="16"/>
      <c r="G99" s="16"/>
      <c r="H99" s="16"/>
      <c r="I99" s="16"/>
      <c r="J99" s="7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8"/>
      <c r="B100" s="17"/>
      <c r="C100" s="17"/>
      <c r="D100" s="17"/>
      <c r="E100" s="17"/>
      <c r="F100" s="17"/>
      <c r="G100" s="17"/>
      <c r="H100" s="17"/>
      <c r="I100" s="17"/>
      <c r="J100" s="9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J1"/>
  </mergeCells>
  <dataValidations count="2">
    <dataValidation type="list" sqref="A4:A200" xr:uid="{00000000-0002-0000-0100-000000000000}">
      <formula1>"Unit 1,Unit 2,Unit 3,Unit 4,Unit 5"</formula1>
    </dataValidation>
    <dataValidation type="list" sqref="F4:F200" xr:uid="{00000000-0002-0000-0100-000001000000}">
      <formula1>"Textbook,Slides,Tutorial,Graph,Own notes"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0"/>
  <sheetViews>
    <sheetView workbookViewId="0">
      <selection activeCell="D4" sqref="D4"/>
    </sheetView>
  </sheetViews>
  <sheetFormatPr baseColWidth="10" defaultColWidth="8.83203125" defaultRowHeight="14"/>
  <cols>
    <col min="1" max="1" width="16" customWidth="1"/>
    <col min="2" max="2" width="13" customWidth="1"/>
    <col min="3" max="3" width="15" customWidth="1"/>
    <col min="4" max="4" width="22" customWidth="1"/>
    <col min="5" max="5" width="15" customWidth="1"/>
    <col min="6" max="6" width="22" customWidth="1"/>
    <col min="7" max="7" width="13" customWidth="1"/>
    <col min="8" max="10" width="16" customWidth="1"/>
    <col min="11" max="11" width="14" customWidth="1"/>
    <col min="12" max="12" width="28" customWidth="1"/>
  </cols>
  <sheetData>
    <row r="1" spans="1:26" ht="21">
      <c r="A1" s="39" t="s">
        <v>90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2">
      <c r="A3" s="21" t="s">
        <v>91</v>
      </c>
      <c r="B3" s="22" t="s">
        <v>21</v>
      </c>
      <c r="C3" s="22" t="s">
        <v>92</v>
      </c>
      <c r="D3" s="22" t="s">
        <v>93</v>
      </c>
      <c r="E3" s="22" t="s">
        <v>94</v>
      </c>
      <c r="F3" s="22" t="s">
        <v>95</v>
      </c>
      <c r="G3" s="22" t="s">
        <v>96</v>
      </c>
      <c r="H3" s="22" t="s">
        <v>45</v>
      </c>
      <c r="I3" s="22" t="s">
        <v>97</v>
      </c>
      <c r="J3" s="22" t="s">
        <v>98</v>
      </c>
      <c r="K3" s="22" t="s">
        <v>99</v>
      </c>
      <c r="L3" s="23" t="s">
        <v>100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4" t="s">
        <v>101</v>
      </c>
      <c r="B4" s="15" t="s">
        <v>27</v>
      </c>
      <c r="C4" s="15" t="s">
        <v>7</v>
      </c>
      <c r="D4" s="15" t="s">
        <v>102</v>
      </c>
      <c r="E4" s="15" t="s">
        <v>269</v>
      </c>
      <c r="F4" s="15">
        <v>1</v>
      </c>
      <c r="G4" s="15" t="s">
        <v>104</v>
      </c>
      <c r="H4" s="15" t="s">
        <v>67</v>
      </c>
      <c r="I4" s="15" t="s">
        <v>60</v>
      </c>
      <c r="J4" s="15" t="s">
        <v>55</v>
      </c>
      <c r="K4" s="15" t="s">
        <v>60</v>
      </c>
      <c r="L4" s="5" t="s">
        <v>105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6" t="s">
        <v>106</v>
      </c>
      <c r="B5" s="16" t="s">
        <v>27</v>
      </c>
      <c r="C5" s="16" t="s">
        <v>10</v>
      </c>
      <c r="D5" s="16" t="s">
        <v>107</v>
      </c>
      <c r="E5" s="16" t="s">
        <v>269</v>
      </c>
      <c r="F5" s="16">
        <v>1</v>
      </c>
      <c r="G5" s="16" t="s">
        <v>104</v>
      </c>
      <c r="H5" s="16" t="s">
        <v>67</v>
      </c>
      <c r="I5" s="16" t="s">
        <v>55</v>
      </c>
      <c r="J5" s="16" t="s">
        <v>55</v>
      </c>
      <c r="K5" s="16" t="s">
        <v>60</v>
      </c>
      <c r="L5" s="7" t="s">
        <v>105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0">
      <c r="A6" s="6" t="s">
        <v>108</v>
      </c>
      <c r="B6" s="16" t="s">
        <v>27</v>
      </c>
      <c r="C6" s="16" t="s">
        <v>13</v>
      </c>
      <c r="D6" s="16" t="s">
        <v>109</v>
      </c>
      <c r="E6" s="16" t="s">
        <v>269</v>
      </c>
      <c r="F6" s="16">
        <v>1</v>
      </c>
      <c r="G6" s="16" t="s">
        <v>54</v>
      </c>
      <c r="H6" s="16" t="s">
        <v>80</v>
      </c>
      <c r="I6" s="16" t="s">
        <v>55</v>
      </c>
      <c r="J6" s="16" t="s">
        <v>55</v>
      </c>
      <c r="K6" s="16" t="s">
        <v>60</v>
      </c>
      <c r="L6" s="7" t="s">
        <v>105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">
      <c r="A7" s="6" t="s">
        <v>110</v>
      </c>
      <c r="B7" s="16" t="s">
        <v>27</v>
      </c>
      <c r="C7" s="16" t="s">
        <v>13</v>
      </c>
      <c r="D7" s="16" t="s">
        <v>111</v>
      </c>
      <c r="E7" s="16" t="s">
        <v>269</v>
      </c>
      <c r="F7" s="16">
        <v>1</v>
      </c>
      <c r="G7" s="16" t="s">
        <v>54</v>
      </c>
      <c r="H7" s="16" t="s">
        <v>80</v>
      </c>
      <c r="I7" s="16"/>
      <c r="J7" s="16"/>
      <c r="K7" s="16"/>
      <c r="L7" s="7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">
      <c r="A8" s="6" t="s">
        <v>112</v>
      </c>
      <c r="B8" s="16" t="s">
        <v>27</v>
      </c>
      <c r="C8" s="16" t="s">
        <v>16</v>
      </c>
      <c r="D8" s="16" t="s">
        <v>113</v>
      </c>
      <c r="E8" s="16" t="s">
        <v>269</v>
      </c>
      <c r="F8" s="16">
        <v>1</v>
      </c>
      <c r="G8" s="16" t="s">
        <v>104</v>
      </c>
      <c r="H8" s="16" t="s">
        <v>114</v>
      </c>
      <c r="I8" s="16"/>
      <c r="J8" s="16"/>
      <c r="K8" s="16"/>
      <c r="L8" s="7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">
      <c r="A9" s="6" t="s">
        <v>115</v>
      </c>
      <c r="B9" s="16" t="s">
        <v>27</v>
      </c>
      <c r="C9" s="16" t="s">
        <v>16</v>
      </c>
      <c r="D9" s="16" t="s">
        <v>116</v>
      </c>
      <c r="E9" s="16" t="s">
        <v>103</v>
      </c>
      <c r="F9" s="16">
        <v>1</v>
      </c>
      <c r="G9" s="16" t="s">
        <v>104</v>
      </c>
      <c r="H9" s="16" t="s">
        <v>117</v>
      </c>
      <c r="I9" s="16"/>
      <c r="J9" s="16"/>
      <c r="K9" s="16"/>
      <c r="L9" s="7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30">
      <c r="A10" s="6" t="s">
        <v>118</v>
      </c>
      <c r="B10" s="16" t="s">
        <v>27</v>
      </c>
      <c r="C10" s="16" t="s">
        <v>18</v>
      </c>
      <c r="D10" s="16" t="s">
        <v>119</v>
      </c>
      <c r="E10" s="16" t="s">
        <v>103</v>
      </c>
      <c r="F10" s="16">
        <v>1</v>
      </c>
      <c r="G10" s="16" t="s">
        <v>54</v>
      </c>
      <c r="H10" s="16" t="s">
        <v>117</v>
      </c>
      <c r="I10" s="16"/>
      <c r="J10" s="16"/>
      <c r="K10" s="16"/>
      <c r="L10" s="7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45">
      <c r="A11" s="6" t="s">
        <v>120</v>
      </c>
      <c r="B11" s="16" t="s">
        <v>27</v>
      </c>
      <c r="C11" s="16" t="s">
        <v>20</v>
      </c>
      <c r="D11" s="16" t="s">
        <v>121</v>
      </c>
      <c r="E11" s="16" t="s">
        <v>103</v>
      </c>
      <c r="F11" s="16">
        <v>1</v>
      </c>
      <c r="G11" s="16" t="s">
        <v>104</v>
      </c>
      <c r="H11" s="16" t="s">
        <v>114</v>
      </c>
      <c r="I11" s="16"/>
      <c r="J11" s="16"/>
      <c r="K11" s="16"/>
      <c r="L11" s="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>
      <c r="A12" s="6" t="s">
        <v>122</v>
      </c>
      <c r="B12" s="16" t="s">
        <v>27</v>
      </c>
      <c r="C12" s="16" t="s">
        <v>26</v>
      </c>
      <c r="D12" s="16" t="s">
        <v>123</v>
      </c>
      <c r="E12" s="16" t="s">
        <v>103</v>
      </c>
      <c r="F12" s="16">
        <v>1</v>
      </c>
      <c r="G12" s="16" t="s">
        <v>54</v>
      </c>
      <c r="H12" s="16" t="s">
        <v>124</v>
      </c>
      <c r="I12" s="16"/>
      <c r="J12" s="16"/>
      <c r="K12" s="16"/>
      <c r="L12" s="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>
      <c r="A13" s="6" t="s">
        <v>125</v>
      </c>
      <c r="B13" s="16" t="s">
        <v>27</v>
      </c>
      <c r="C13" s="16" t="s">
        <v>32</v>
      </c>
      <c r="D13" s="16" t="s">
        <v>126</v>
      </c>
      <c r="E13" s="16" t="s">
        <v>103</v>
      </c>
      <c r="F13" s="16">
        <v>1</v>
      </c>
      <c r="G13" s="16" t="s">
        <v>104</v>
      </c>
      <c r="H13" s="16" t="s">
        <v>127</v>
      </c>
      <c r="I13" s="16"/>
      <c r="J13" s="16"/>
      <c r="K13" s="16"/>
      <c r="L13" s="7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>
      <c r="A14" s="6" t="s">
        <v>128</v>
      </c>
      <c r="B14" s="16" t="s">
        <v>30</v>
      </c>
      <c r="C14" s="16" t="s">
        <v>7</v>
      </c>
      <c r="D14" s="16" t="s">
        <v>129</v>
      </c>
      <c r="E14" s="16" t="s">
        <v>103</v>
      </c>
      <c r="F14" s="16">
        <v>1</v>
      </c>
      <c r="G14" s="16" t="s">
        <v>104</v>
      </c>
      <c r="H14" s="16" t="s">
        <v>114</v>
      </c>
      <c r="I14" s="16"/>
      <c r="J14" s="16"/>
      <c r="K14" s="16"/>
      <c r="L14" s="7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>
      <c r="A15" s="6" t="s">
        <v>130</v>
      </c>
      <c r="B15" s="16" t="s">
        <v>30</v>
      </c>
      <c r="C15" s="16" t="s">
        <v>10</v>
      </c>
      <c r="D15" s="16" t="s">
        <v>131</v>
      </c>
      <c r="E15" s="16" t="s">
        <v>103</v>
      </c>
      <c r="F15" s="16">
        <v>1</v>
      </c>
      <c r="G15" s="16" t="s">
        <v>104</v>
      </c>
      <c r="H15" s="16" t="s">
        <v>80</v>
      </c>
      <c r="I15" s="16"/>
      <c r="J15" s="16"/>
      <c r="K15" s="16"/>
      <c r="L15" s="7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">
      <c r="A16" s="6" t="s">
        <v>132</v>
      </c>
      <c r="B16" s="16" t="s">
        <v>30</v>
      </c>
      <c r="C16" s="16" t="s">
        <v>10</v>
      </c>
      <c r="D16" s="16" t="s">
        <v>133</v>
      </c>
      <c r="E16" s="16" t="s">
        <v>103</v>
      </c>
      <c r="F16" s="16">
        <v>1</v>
      </c>
      <c r="G16" s="16" t="s">
        <v>54</v>
      </c>
      <c r="H16" s="16" t="s">
        <v>80</v>
      </c>
      <c r="I16" s="16"/>
      <c r="J16" s="16"/>
      <c r="K16" s="16"/>
      <c r="L16" s="7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">
      <c r="A17" s="6" t="s">
        <v>134</v>
      </c>
      <c r="B17" s="16" t="s">
        <v>30</v>
      </c>
      <c r="C17" s="16" t="s">
        <v>10</v>
      </c>
      <c r="D17" s="16" t="s">
        <v>135</v>
      </c>
      <c r="E17" s="16" t="s">
        <v>103</v>
      </c>
      <c r="F17" s="16">
        <v>1</v>
      </c>
      <c r="G17" s="16" t="s">
        <v>104</v>
      </c>
      <c r="H17" s="16" t="s">
        <v>80</v>
      </c>
      <c r="I17" s="16"/>
      <c r="J17" s="16"/>
      <c r="K17" s="16"/>
      <c r="L17" s="7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">
      <c r="A18" s="6" t="s">
        <v>136</v>
      </c>
      <c r="B18" s="16" t="s">
        <v>30</v>
      </c>
      <c r="C18" s="16" t="s">
        <v>13</v>
      </c>
      <c r="D18" s="16" t="s">
        <v>137</v>
      </c>
      <c r="E18" s="16" t="s">
        <v>103</v>
      </c>
      <c r="F18" s="16">
        <v>1</v>
      </c>
      <c r="G18" s="16" t="s">
        <v>54</v>
      </c>
      <c r="H18" s="16" t="s">
        <v>80</v>
      </c>
      <c r="I18" s="16"/>
      <c r="J18" s="16"/>
      <c r="K18" s="16"/>
      <c r="L18" s="7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">
      <c r="A19" s="6" t="s">
        <v>138</v>
      </c>
      <c r="B19" s="16" t="s">
        <v>30</v>
      </c>
      <c r="C19" s="16" t="s">
        <v>13</v>
      </c>
      <c r="D19" s="16" t="s">
        <v>139</v>
      </c>
      <c r="E19" s="16" t="s">
        <v>103</v>
      </c>
      <c r="F19" s="16">
        <v>1</v>
      </c>
      <c r="G19" s="16" t="s">
        <v>104</v>
      </c>
      <c r="H19" s="16" t="s">
        <v>80</v>
      </c>
      <c r="I19" s="16"/>
      <c r="J19" s="16"/>
      <c r="K19" s="16"/>
      <c r="L19" s="7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">
      <c r="A20" s="6" t="s">
        <v>140</v>
      </c>
      <c r="B20" s="16" t="s">
        <v>30</v>
      </c>
      <c r="C20" s="16" t="s">
        <v>16</v>
      </c>
      <c r="D20" s="16" t="s">
        <v>141</v>
      </c>
      <c r="E20" s="16" t="s">
        <v>103</v>
      </c>
      <c r="F20" s="16">
        <v>1</v>
      </c>
      <c r="G20" s="16" t="s">
        <v>54</v>
      </c>
      <c r="H20" s="16" t="s">
        <v>80</v>
      </c>
      <c r="I20" s="16"/>
      <c r="J20" s="16"/>
      <c r="K20" s="16"/>
      <c r="L20" s="7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">
      <c r="A21" s="6" t="s">
        <v>142</v>
      </c>
      <c r="B21" s="16" t="s">
        <v>30</v>
      </c>
      <c r="C21" s="16" t="s">
        <v>16</v>
      </c>
      <c r="D21" s="16" t="s">
        <v>143</v>
      </c>
      <c r="E21" s="16" t="s">
        <v>103</v>
      </c>
      <c r="F21" s="16">
        <v>1</v>
      </c>
      <c r="G21" s="16" t="s">
        <v>104</v>
      </c>
      <c r="H21" s="16" t="s">
        <v>80</v>
      </c>
      <c r="I21" s="16"/>
      <c r="J21" s="16"/>
      <c r="K21" s="16"/>
      <c r="L21" s="7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30">
      <c r="A22" s="6" t="s">
        <v>144</v>
      </c>
      <c r="B22" s="16" t="s">
        <v>30</v>
      </c>
      <c r="C22" s="16" t="s">
        <v>18</v>
      </c>
      <c r="D22" s="16" t="s">
        <v>145</v>
      </c>
      <c r="E22" s="16" t="s">
        <v>103</v>
      </c>
      <c r="F22" s="16">
        <v>1</v>
      </c>
      <c r="G22" s="16" t="s">
        <v>104</v>
      </c>
      <c r="H22" s="16" t="s">
        <v>114</v>
      </c>
      <c r="I22" s="16"/>
      <c r="J22" s="16"/>
      <c r="K22" s="16"/>
      <c r="L22" s="7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30">
      <c r="A23" s="6" t="s">
        <v>146</v>
      </c>
      <c r="B23" s="16" t="s">
        <v>30</v>
      </c>
      <c r="C23" s="16" t="s">
        <v>18</v>
      </c>
      <c r="D23" s="16" t="s">
        <v>147</v>
      </c>
      <c r="E23" s="16" t="s">
        <v>103</v>
      </c>
      <c r="F23" s="16">
        <v>1</v>
      </c>
      <c r="G23" s="16" t="s">
        <v>104</v>
      </c>
      <c r="H23" s="16" t="s">
        <v>114</v>
      </c>
      <c r="I23" s="16"/>
      <c r="J23" s="16"/>
      <c r="K23" s="16"/>
      <c r="L23" s="7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30">
      <c r="A24" s="6" t="s">
        <v>148</v>
      </c>
      <c r="B24" s="16" t="s">
        <v>30</v>
      </c>
      <c r="C24" s="16" t="s">
        <v>26</v>
      </c>
      <c r="D24" s="16" t="s">
        <v>149</v>
      </c>
      <c r="E24" s="16" t="s">
        <v>103</v>
      </c>
      <c r="F24" s="16">
        <v>1</v>
      </c>
      <c r="G24" s="16" t="s">
        <v>150</v>
      </c>
      <c r="H24" s="16" t="s">
        <v>151</v>
      </c>
      <c r="I24" s="16"/>
      <c r="J24" s="16"/>
      <c r="K24" s="16"/>
      <c r="L24" s="7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">
      <c r="A25" s="6" t="s">
        <v>152</v>
      </c>
      <c r="B25" s="16" t="s">
        <v>30</v>
      </c>
      <c r="C25" s="16" t="s">
        <v>32</v>
      </c>
      <c r="D25" s="16" t="s">
        <v>126</v>
      </c>
      <c r="E25" s="16" t="s">
        <v>103</v>
      </c>
      <c r="F25" s="16">
        <v>1</v>
      </c>
      <c r="G25" s="16" t="s">
        <v>104</v>
      </c>
      <c r="H25" s="16" t="s">
        <v>127</v>
      </c>
      <c r="I25" s="16"/>
      <c r="J25" s="16"/>
      <c r="K25" s="16"/>
      <c r="L25" s="7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30">
      <c r="A26" s="6" t="s">
        <v>153</v>
      </c>
      <c r="B26" s="16" t="s">
        <v>33</v>
      </c>
      <c r="C26" s="16" t="s">
        <v>7</v>
      </c>
      <c r="D26" s="16" t="s">
        <v>154</v>
      </c>
      <c r="E26" s="16" t="s">
        <v>103</v>
      </c>
      <c r="F26" s="16">
        <v>1</v>
      </c>
      <c r="G26" s="16" t="s">
        <v>104</v>
      </c>
      <c r="H26" s="16" t="s">
        <v>80</v>
      </c>
      <c r="I26" s="16" t="s">
        <v>55</v>
      </c>
      <c r="J26" s="16" t="s">
        <v>55</v>
      </c>
      <c r="K26" s="16" t="s">
        <v>60</v>
      </c>
      <c r="L26" s="7" t="s">
        <v>155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">
      <c r="A27" s="6" t="s">
        <v>156</v>
      </c>
      <c r="B27" s="16" t="s">
        <v>33</v>
      </c>
      <c r="C27" s="16" t="s">
        <v>7</v>
      </c>
      <c r="D27" s="16" t="s">
        <v>157</v>
      </c>
      <c r="E27" s="16" t="s">
        <v>103</v>
      </c>
      <c r="F27" s="16">
        <v>1</v>
      </c>
      <c r="G27" s="16" t="s">
        <v>104</v>
      </c>
      <c r="H27" s="16" t="s">
        <v>80</v>
      </c>
      <c r="I27" s="16" t="s">
        <v>55</v>
      </c>
      <c r="J27" s="16" t="s">
        <v>55</v>
      </c>
      <c r="K27" s="16" t="s">
        <v>60</v>
      </c>
      <c r="L27" s="7" t="s">
        <v>158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">
      <c r="A28" s="6" t="s">
        <v>159</v>
      </c>
      <c r="B28" s="16" t="s">
        <v>33</v>
      </c>
      <c r="C28" s="16" t="s">
        <v>10</v>
      </c>
      <c r="D28" s="16" t="s">
        <v>160</v>
      </c>
      <c r="E28" s="16" t="s">
        <v>103</v>
      </c>
      <c r="F28" s="16">
        <v>1</v>
      </c>
      <c r="G28" s="16" t="s">
        <v>104</v>
      </c>
      <c r="H28" s="16" t="s">
        <v>161</v>
      </c>
      <c r="I28" s="16" t="s">
        <v>55</v>
      </c>
      <c r="J28" s="16" t="s">
        <v>55</v>
      </c>
      <c r="K28" s="16" t="s">
        <v>60</v>
      </c>
      <c r="L28" s="7" t="s">
        <v>162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30">
      <c r="A29" s="6" t="s">
        <v>163</v>
      </c>
      <c r="B29" s="16" t="s">
        <v>33</v>
      </c>
      <c r="C29" s="16" t="s">
        <v>10</v>
      </c>
      <c r="D29" s="16" t="s">
        <v>164</v>
      </c>
      <c r="E29" s="16" t="s">
        <v>103</v>
      </c>
      <c r="F29" s="16">
        <v>1</v>
      </c>
      <c r="G29" s="16" t="s">
        <v>104</v>
      </c>
      <c r="H29" s="16" t="s">
        <v>80</v>
      </c>
      <c r="I29" s="16" t="s">
        <v>55</v>
      </c>
      <c r="J29" s="16" t="s">
        <v>55</v>
      </c>
      <c r="K29" s="16" t="s">
        <v>60</v>
      </c>
      <c r="L29" s="7" t="s">
        <v>165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30">
      <c r="A30" s="6" t="s">
        <v>166</v>
      </c>
      <c r="B30" s="16" t="s">
        <v>33</v>
      </c>
      <c r="C30" s="16" t="s">
        <v>13</v>
      </c>
      <c r="D30" s="16" t="s">
        <v>167</v>
      </c>
      <c r="E30" s="16" t="s">
        <v>103</v>
      </c>
      <c r="F30" s="16">
        <v>1</v>
      </c>
      <c r="G30" s="16" t="s">
        <v>104</v>
      </c>
      <c r="H30" s="16" t="s">
        <v>161</v>
      </c>
      <c r="I30" s="16" t="s">
        <v>55</v>
      </c>
      <c r="J30" s="16" t="s">
        <v>55</v>
      </c>
      <c r="K30" s="16" t="s">
        <v>60</v>
      </c>
      <c r="L30" s="7" t="s">
        <v>168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30">
      <c r="A31" s="6" t="s">
        <v>169</v>
      </c>
      <c r="B31" s="16" t="s">
        <v>33</v>
      </c>
      <c r="C31" s="16" t="s">
        <v>13</v>
      </c>
      <c r="D31" s="16" t="s">
        <v>170</v>
      </c>
      <c r="E31" s="16" t="s">
        <v>103</v>
      </c>
      <c r="F31" s="16">
        <v>1</v>
      </c>
      <c r="G31" s="16" t="s">
        <v>54</v>
      </c>
      <c r="H31" s="16" t="s">
        <v>80</v>
      </c>
      <c r="I31" s="16" t="s">
        <v>55</v>
      </c>
      <c r="J31" s="16" t="s">
        <v>55</v>
      </c>
      <c r="K31" s="16" t="s">
        <v>60</v>
      </c>
      <c r="L31" s="7" t="s">
        <v>171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">
      <c r="A32" s="6" t="s">
        <v>172</v>
      </c>
      <c r="B32" s="16" t="s">
        <v>33</v>
      </c>
      <c r="C32" s="16" t="s">
        <v>16</v>
      </c>
      <c r="D32" s="16" t="s">
        <v>173</v>
      </c>
      <c r="E32" s="16" t="s">
        <v>103</v>
      </c>
      <c r="F32" s="16">
        <v>1</v>
      </c>
      <c r="G32" s="16" t="s">
        <v>104</v>
      </c>
      <c r="H32" s="16" t="s">
        <v>161</v>
      </c>
      <c r="I32" s="16" t="s">
        <v>55</v>
      </c>
      <c r="J32" s="16" t="s">
        <v>55</v>
      </c>
      <c r="K32" s="16" t="s">
        <v>60</v>
      </c>
      <c r="L32" s="7" t="s">
        <v>174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">
      <c r="A33" s="6" t="s">
        <v>175</v>
      </c>
      <c r="B33" s="16" t="s">
        <v>33</v>
      </c>
      <c r="C33" s="16" t="s">
        <v>16</v>
      </c>
      <c r="D33" s="16" t="s">
        <v>176</v>
      </c>
      <c r="E33" s="16" t="s">
        <v>103</v>
      </c>
      <c r="F33" s="16">
        <v>1</v>
      </c>
      <c r="G33" s="16" t="s">
        <v>104</v>
      </c>
      <c r="H33" s="16" t="s">
        <v>80</v>
      </c>
      <c r="I33" s="16" t="s">
        <v>55</v>
      </c>
      <c r="J33" s="16" t="s">
        <v>55</v>
      </c>
      <c r="K33" s="16" t="s">
        <v>60</v>
      </c>
      <c r="L33" s="7" t="s">
        <v>177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">
      <c r="A34" s="6" t="s">
        <v>178</v>
      </c>
      <c r="B34" s="16" t="s">
        <v>33</v>
      </c>
      <c r="C34" s="16" t="s">
        <v>18</v>
      </c>
      <c r="D34" s="16" t="s">
        <v>179</v>
      </c>
      <c r="E34" s="16" t="s">
        <v>103</v>
      </c>
      <c r="F34" s="16">
        <v>1</v>
      </c>
      <c r="G34" s="16" t="s">
        <v>104</v>
      </c>
      <c r="H34" s="16" t="s">
        <v>83</v>
      </c>
      <c r="I34" s="16" t="s">
        <v>55</v>
      </c>
      <c r="J34" s="16" t="s">
        <v>55</v>
      </c>
      <c r="K34" s="16" t="s">
        <v>60</v>
      </c>
      <c r="L34" s="7" t="s">
        <v>180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">
      <c r="A35" s="6" t="s">
        <v>181</v>
      </c>
      <c r="B35" s="16" t="s">
        <v>33</v>
      </c>
      <c r="C35" s="16" t="s">
        <v>18</v>
      </c>
      <c r="D35" s="16" t="s">
        <v>182</v>
      </c>
      <c r="E35" s="16" t="s">
        <v>103</v>
      </c>
      <c r="F35" s="16">
        <v>1</v>
      </c>
      <c r="G35" s="16" t="s">
        <v>104</v>
      </c>
      <c r="H35" s="16" t="s">
        <v>83</v>
      </c>
      <c r="I35" s="16" t="s">
        <v>55</v>
      </c>
      <c r="J35" s="16" t="s">
        <v>55</v>
      </c>
      <c r="K35" s="16" t="s">
        <v>60</v>
      </c>
      <c r="L35" s="7" t="s">
        <v>180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">
      <c r="A36" s="6" t="s">
        <v>183</v>
      </c>
      <c r="B36" s="16" t="s">
        <v>33</v>
      </c>
      <c r="C36" s="16" t="s">
        <v>20</v>
      </c>
      <c r="D36" s="16" t="s">
        <v>184</v>
      </c>
      <c r="E36" s="16" t="s">
        <v>103</v>
      </c>
      <c r="F36" s="16">
        <v>1</v>
      </c>
      <c r="G36" s="16" t="s">
        <v>150</v>
      </c>
      <c r="H36" s="16" t="s">
        <v>185</v>
      </c>
      <c r="I36" s="16" t="s">
        <v>55</v>
      </c>
      <c r="J36" s="16" t="s">
        <v>55</v>
      </c>
      <c r="K36" s="16" t="s">
        <v>60</v>
      </c>
      <c r="L36" s="7" t="s">
        <v>186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30">
      <c r="A37" s="6" t="s">
        <v>187</v>
      </c>
      <c r="B37" s="16" t="s">
        <v>33</v>
      </c>
      <c r="C37" s="16" t="s">
        <v>20</v>
      </c>
      <c r="D37" s="16" t="s">
        <v>188</v>
      </c>
      <c r="E37" s="16" t="s">
        <v>103</v>
      </c>
      <c r="F37" s="16">
        <v>1</v>
      </c>
      <c r="G37" s="16" t="s">
        <v>104</v>
      </c>
      <c r="H37" s="16" t="s">
        <v>80</v>
      </c>
      <c r="I37" s="16" t="s">
        <v>55</v>
      </c>
      <c r="J37" s="16" t="s">
        <v>55</v>
      </c>
      <c r="K37" s="16" t="s">
        <v>60</v>
      </c>
      <c r="L37" s="7" t="s">
        <v>189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30">
      <c r="A38" s="6" t="s">
        <v>190</v>
      </c>
      <c r="B38" s="16" t="s">
        <v>33</v>
      </c>
      <c r="C38" s="16" t="s">
        <v>26</v>
      </c>
      <c r="D38" s="16" t="s">
        <v>191</v>
      </c>
      <c r="E38" s="16" t="s">
        <v>103</v>
      </c>
      <c r="F38" s="16">
        <v>1</v>
      </c>
      <c r="G38" s="16" t="s">
        <v>104</v>
      </c>
      <c r="H38" s="16" t="s">
        <v>161</v>
      </c>
      <c r="I38" s="16" t="s">
        <v>55</v>
      </c>
      <c r="J38" s="16" t="s">
        <v>55</v>
      </c>
      <c r="K38" s="16" t="s">
        <v>60</v>
      </c>
      <c r="L38" s="7" t="s">
        <v>192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30">
      <c r="A39" s="6" t="s">
        <v>193</v>
      </c>
      <c r="B39" s="16" t="s">
        <v>33</v>
      </c>
      <c r="C39" s="16" t="s">
        <v>26</v>
      </c>
      <c r="D39" s="16" t="s">
        <v>194</v>
      </c>
      <c r="E39" s="16" t="s">
        <v>103</v>
      </c>
      <c r="F39" s="16">
        <v>1</v>
      </c>
      <c r="G39" s="16" t="s">
        <v>54</v>
      </c>
      <c r="H39" s="16" t="s">
        <v>80</v>
      </c>
      <c r="I39" s="16" t="s">
        <v>55</v>
      </c>
      <c r="J39" s="16" t="s">
        <v>55</v>
      </c>
      <c r="K39" s="16" t="s">
        <v>60</v>
      </c>
      <c r="L39" s="7" t="s">
        <v>195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30">
      <c r="A40" s="6" t="s">
        <v>196</v>
      </c>
      <c r="B40" s="16" t="s">
        <v>33</v>
      </c>
      <c r="C40" s="16" t="s">
        <v>32</v>
      </c>
      <c r="D40" s="16" t="s">
        <v>197</v>
      </c>
      <c r="E40" s="16" t="s">
        <v>103</v>
      </c>
      <c r="F40" s="16">
        <v>1</v>
      </c>
      <c r="G40" s="16" t="s">
        <v>104</v>
      </c>
      <c r="H40" s="16" t="s">
        <v>198</v>
      </c>
      <c r="I40" s="16" t="s">
        <v>55</v>
      </c>
      <c r="J40" s="16" t="s">
        <v>55</v>
      </c>
      <c r="K40" s="16" t="s">
        <v>60</v>
      </c>
      <c r="L40" s="7" t="s">
        <v>199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7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7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7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7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7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7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7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7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7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7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7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7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7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7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7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7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7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7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7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7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7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7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7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7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7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7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7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7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7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7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7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7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7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7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7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7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7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7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7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7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7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7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7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7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7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7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7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7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7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7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7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7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7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7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7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7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7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7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7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7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7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7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7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7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7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7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7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7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7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7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7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7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7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7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7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7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7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7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7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7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7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7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7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7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7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7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7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7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7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7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7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7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7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7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7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7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7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7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7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7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7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7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7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7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7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7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7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7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7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7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7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7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7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7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7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7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7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7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7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7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7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7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7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7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7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7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7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7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7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7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7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7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7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7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7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7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7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7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7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7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7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7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7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7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7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7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7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7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7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7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7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7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7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7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7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7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7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7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7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7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7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7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7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7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7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7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7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7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7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7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7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7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7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7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7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7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7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7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7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7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7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7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7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7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7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7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7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7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7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7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7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7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7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7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7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7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7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7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7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7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7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7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9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L1"/>
  </mergeCells>
  <conditionalFormatting sqref="E4:E250">
    <cfRule type="expression" dxfId="1" priority="2">
      <formula>E4="Done"</formula>
    </cfRule>
    <cfRule type="expression" dxfId="0" priority="3">
      <formula>E4="Stuck"</formula>
    </cfRule>
  </conditionalFormatting>
  <conditionalFormatting sqref="F4:F25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5">
    <dataValidation type="list" sqref="E4:E250" xr:uid="{00000000-0002-0000-0200-000000000000}">
      <formula1>"Not started,Reading,Active recall,Teach-back,Past paper,Revision,Done,Stuck"</formula1>
    </dataValidation>
    <dataValidation type="list" sqref="F4:F250" xr:uid="{00000000-0002-0000-0200-000001000000}">
      <formula1>"1,2,3,4,5"</formula1>
    </dataValidation>
    <dataValidation type="list" sqref="G4:G250" xr:uid="{00000000-0002-0000-0200-000002000000}">
      <formula1>"Critical,High,Medium,Low,Parking Lot"</formula1>
    </dataValidation>
    <dataValidation type="list" sqref="H4:H250" xr:uid="{00000000-0002-0000-0200-000003000000}">
      <formula1>"Textbook,Slides,Tutorial,Graph,Own notes"</formula1>
    </dataValidation>
    <dataValidation type="list" sqref="I4:K250" xr:uid="{00000000-0002-0000-0200-000004000000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50"/>
  <sheetViews>
    <sheetView workbookViewId="0">
      <selection activeCell="D8" sqref="D8"/>
    </sheetView>
  </sheetViews>
  <sheetFormatPr baseColWidth="10" defaultColWidth="8.83203125" defaultRowHeight="14"/>
  <cols>
    <col min="1" max="1" width="12" customWidth="1"/>
    <col min="2" max="2" width="10" customWidth="1"/>
    <col min="3" max="3" width="24" customWidth="1"/>
    <col min="4" max="4" width="18" customWidth="1"/>
    <col min="5" max="5" width="10" customWidth="1"/>
    <col min="6" max="6" width="16" customWidth="1"/>
    <col min="7" max="7" width="20" customWidth="1"/>
    <col min="8" max="8" width="14" customWidth="1"/>
    <col min="9" max="9" width="18" customWidth="1"/>
    <col min="10" max="10" width="28" customWidth="1"/>
  </cols>
  <sheetData>
    <row r="1" spans="1:26" ht="21">
      <c r="A1" s="39" t="s">
        <v>200</v>
      </c>
      <c r="B1" s="40"/>
      <c r="C1" s="40"/>
      <c r="D1" s="40"/>
      <c r="E1" s="40"/>
      <c r="F1" s="40"/>
      <c r="G1" s="40"/>
      <c r="H1" s="40"/>
      <c r="I1" s="40"/>
      <c r="J1" s="41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2">
      <c r="A3" s="25" t="s">
        <v>201</v>
      </c>
      <c r="B3" s="26" t="s">
        <v>21</v>
      </c>
      <c r="C3" s="26" t="s">
        <v>202</v>
      </c>
      <c r="D3" s="26" t="s">
        <v>203</v>
      </c>
      <c r="E3" s="26" t="s">
        <v>204</v>
      </c>
      <c r="F3" s="26" t="s">
        <v>205</v>
      </c>
      <c r="G3" s="26" t="s">
        <v>206</v>
      </c>
      <c r="H3" s="26" t="s">
        <v>207</v>
      </c>
      <c r="I3" s="26" t="s">
        <v>208</v>
      </c>
      <c r="J3" s="27" t="s">
        <v>209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18">
        <v>46112</v>
      </c>
      <c r="B4" s="15" t="s">
        <v>27</v>
      </c>
      <c r="C4" s="15" t="s">
        <v>210</v>
      </c>
      <c r="D4" s="15" t="s">
        <v>211</v>
      </c>
      <c r="E4" s="15">
        <v>45</v>
      </c>
      <c r="F4" s="15" t="s">
        <v>55</v>
      </c>
      <c r="G4" s="15" t="s">
        <v>55</v>
      </c>
      <c r="H4" s="15">
        <v>2</v>
      </c>
      <c r="I4" s="15" t="s">
        <v>212</v>
      </c>
      <c r="J4" s="5" t="s">
        <v>213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19">
        <v>46113</v>
      </c>
      <c r="B5" s="16" t="s">
        <v>27</v>
      </c>
      <c r="C5" s="16" t="s">
        <v>210</v>
      </c>
      <c r="D5" s="16" t="s">
        <v>214</v>
      </c>
      <c r="E5" s="16">
        <v>30</v>
      </c>
      <c r="F5" s="16" t="s">
        <v>60</v>
      </c>
      <c r="G5" s="16" t="s">
        <v>55</v>
      </c>
      <c r="H5" s="16">
        <v>3</v>
      </c>
      <c r="I5" s="16" t="s">
        <v>215</v>
      </c>
      <c r="J5" s="7" t="s">
        <v>213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0">
      <c r="A6" s="19">
        <v>46114</v>
      </c>
      <c r="B6" s="16" t="s">
        <v>27</v>
      </c>
      <c r="C6" s="15" t="s">
        <v>102</v>
      </c>
      <c r="D6" s="16" t="s">
        <v>211</v>
      </c>
      <c r="E6" s="16">
        <v>90</v>
      </c>
      <c r="F6" s="16" t="s">
        <v>55</v>
      </c>
      <c r="G6" s="16" t="s">
        <v>55</v>
      </c>
      <c r="H6" s="16">
        <v>2</v>
      </c>
      <c r="I6" s="16" t="s">
        <v>278</v>
      </c>
      <c r="J6" s="7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19"/>
      <c r="B7" s="16"/>
      <c r="C7" s="16"/>
      <c r="D7" s="16"/>
      <c r="E7" s="16"/>
      <c r="F7" s="16"/>
      <c r="G7" s="16"/>
      <c r="H7" s="16"/>
      <c r="I7" s="16"/>
      <c r="J7" s="7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19"/>
      <c r="B8" s="16"/>
      <c r="C8" s="16"/>
      <c r="D8" s="16"/>
      <c r="E8" s="16"/>
      <c r="F8" s="16"/>
      <c r="G8" s="16"/>
      <c r="H8" s="16"/>
      <c r="I8" s="16"/>
      <c r="J8" s="7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9"/>
      <c r="B9" s="16"/>
      <c r="C9" s="16"/>
      <c r="D9" s="16"/>
      <c r="E9" s="16"/>
      <c r="F9" s="16"/>
      <c r="G9" s="16"/>
      <c r="H9" s="16"/>
      <c r="I9" s="16"/>
      <c r="J9" s="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9"/>
      <c r="B10" s="16"/>
      <c r="C10" s="16"/>
      <c r="D10" s="16"/>
      <c r="E10" s="16"/>
      <c r="F10" s="16"/>
      <c r="G10" s="16"/>
      <c r="H10" s="16"/>
      <c r="I10" s="16"/>
      <c r="J10" s="7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9"/>
      <c r="B11" s="16"/>
      <c r="C11" s="16"/>
      <c r="D11" s="16"/>
      <c r="E11" s="16"/>
      <c r="F11" s="16"/>
      <c r="G11" s="16"/>
      <c r="H11" s="16"/>
      <c r="I11" s="16"/>
      <c r="J11" s="7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9"/>
      <c r="B12" s="16"/>
      <c r="C12" s="16"/>
      <c r="D12" s="16"/>
      <c r="E12" s="16"/>
      <c r="F12" s="16"/>
      <c r="G12" s="16"/>
      <c r="H12" s="16"/>
      <c r="I12" s="16"/>
      <c r="J12" s="7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9"/>
      <c r="B13" s="16"/>
      <c r="C13" s="16"/>
      <c r="D13" s="16"/>
      <c r="E13" s="16"/>
      <c r="F13" s="16"/>
      <c r="G13" s="16"/>
      <c r="H13" s="16"/>
      <c r="I13" s="16"/>
      <c r="J13" s="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9"/>
      <c r="B14" s="16"/>
      <c r="C14" s="16"/>
      <c r="D14" s="16"/>
      <c r="E14" s="16"/>
      <c r="F14" s="16"/>
      <c r="G14" s="16"/>
      <c r="H14" s="16"/>
      <c r="I14" s="16"/>
      <c r="J14" s="7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9"/>
      <c r="B15" s="16"/>
      <c r="C15" s="16"/>
      <c r="D15" s="16"/>
      <c r="E15" s="16"/>
      <c r="F15" s="16"/>
      <c r="G15" s="16"/>
      <c r="H15" s="16"/>
      <c r="I15" s="16"/>
      <c r="J15" s="7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9"/>
      <c r="B16" s="16"/>
      <c r="C16" s="16"/>
      <c r="D16" s="16"/>
      <c r="E16" s="16"/>
      <c r="F16" s="16"/>
      <c r="G16" s="16"/>
      <c r="H16" s="16"/>
      <c r="I16" s="16"/>
      <c r="J16" s="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9"/>
      <c r="B17" s="16"/>
      <c r="C17" s="16"/>
      <c r="D17" s="16"/>
      <c r="E17" s="16"/>
      <c r="F17" s="16"/>
      <c r="G17" s="16"/>
      <c r="H17" s="16"/>
      <c r="I17" s="16"/>
      <c r="J17" s="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9"/>
      <c r="B18" s="16"/>
      <c r="C18" s="16"/>
      <c r="D18" s="16"/>
      <c r="E18" s="16"/>
      <c r="F18" s="16"/>
      <c r="G18" s="16"/>
      <c r="H18" s="16"/>
      <c r="I18" s="16"/>
      <c r="J18" s="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9"/>
      <c r="B19" s="16"/>
      <c r="C19" s="16"/>
      <c r="D19" s="16"/>
      <c r="E19" s="16"/>
      <c r="F19" s="16"/>
      <c r="G19" s="16"/>
      <c r="H19" s="16"/>
      <c r="I19" s="16"/>
      <c r="J19" s="7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9"/>
      <c r="B20" s="16"/>
      <c r="C20" s="16"/>
      <c r="D20" s="16"/>
      <c r="E20" s="16"/>
      <c r="F20" s="16"/>
      <c r="G20" s="16"/>
      <c r="H20" s="16"/>
      <c r="I20" s="16"/>
      <c r="J20" s="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9"/>
      <c r="B21" s="16"/>
      <c r="C21" s="16"/>
      <c r="D21" s="16"/>
      <c r="E21" s="16"/>
      <c r="F21" s="16"/>
      <c r="G21" s="16"/>
      <c r="H21" s="16"/>
      <c r="I21" s="16"/>
      <c r="J21" s="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9"/>
      <c r="B22" s="16"/>
      <c r="C22" s="16"/>
      <c r="D22" s="16"/>
      <c r="E22" s="16"/>
      <c r="F22" s="16"/>
      <c r="G22" s="16"/>
      <c r="H22" s="16"/>
      <c r="I22" s="16"/>
      <c r="J22" s="7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9"/>
      <c r="B23" s="16"/>
      <c r="C23" s="16"/>
      <c r="D23" s="16"/>
      <c r="E23" s="16"/>
      <c r="F23" s="16"/>
      <c r="G23" s="16"/>
      <c r="H23" s="16"/>
      <c r="I23" s="16"/>
      <c r="J23" s="7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9"/>
      <c r="B24" s="16"/>
      <c r="C24" s="16"/>
      <c r="D24" s="16"/>
      <c r="E24" s="16"/>
      <c r="F24" s="16"/>
      <c r="G24" s="16"/>
      <c r="H24" s="16"/>
      <c r="I24" s="16"/>
      <c r="J24" s="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9"/>
      <c r="B25" s="16"/>
      <c r="C25" s="16"/>
      <c r="D25" s="16"/>
      <c r="E25" s="16"/>
      <c r="F25" s="16"/>
      <c r="G25" s="16"/>
      <c r="H25" s="16"/>
      <c r="I25" s="16"/>
      <c r="J25" s="7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9"/>
      <c r="B26" s="16"/>
      <c r="C26" s="16"/>
      <c r="D26" s="16"/>
      <c r="E26" s="16"/>
      <c r="F26" s="16"/>
      <c r="G26" s="16"/>
      <c r="H26" s="16"/>
      <c r="I26" s="16"/>
      <c r="J26" s="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9"/>
      <c r="B27" s="16"/>
      <c r="C27" s="16"/>
      <c r="D27" s="16"/>
      <c r="E27" s="16"/>
      <c r="F27" s="16"/>
      <c r="G27" s="16"/>
      <c r="H27" s="16"/>
      <c r="I27" s="16"/>
      <c r="J27" s="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9"/>
      <c r="B28" s="16"/>
      <c r="C28" s="16"/>
      <c r="D28" s="16"/>
      <c r="E28" s="16"/>
      <c r="F28" s="16"/>
      <c r="G28" s="16"/>
      <c r="H28" s="16"/>
      <c r="I28" s="16"/>
      <c r="J28" s="7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9"/>
      <c r="B29" s="16"/>
      <c r="C29" s="16"/>
      <c r="D29" s="16"/>
      <c r="E29" s="16"/>
      <c r="F29" s="16"/>
      <c r="G29" s="16"/>
      <c r="H29" s="16"/>
      <c r="I29" s="16"/>
      <c r="J29" s="7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9"/>
      <c r="B30" s="16"/>
      <c r="C30" s="16"/>
      <c r="D30" s="16"/>
      <c r="E30" s="16"/>
      <c r="F30" s="16"/>
      <c r="G30" s="16"/>
      <c r="H30" s="16"/>
      <c r="I30" s="16"/>
      <c r="J30" s="7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9"/>
      <c r="B31" s="16"/>
      <c r="C31" s="16"/>
      <c r="D31" s="16"/>
      <c r="E31" s="16"/>
      <c r="F31" s="16"/>
      <c r="G31" s="16"/>
      <c r="H31" s="16"/>
      <c r="I31" s="16"/>
      <c r="J31" s="7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9"/>
      <c r="B32" s="16"/>
      <c r="C32" s="16"/>
      <c r="D32" s="16"/>
      <c r="E32" s="16"/>
      <c r="F32" s="16"/>
      <c r="G32" s="16"/>
      <c r="H32" s="16"/>
      <c r="I32" s="16"/>
      <c r="J32" s="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9"/>
      <c r="B33" s="16"/>
      <c r="C33" s="16"/>
      <c r="D33" s="16"/>
      <c r="E33" s="16"/>
      <c r="F33" s="16"/>
      <c r="G33" s="16"/>
      <c r="H33" s="16"/>
      <c r="I33" s="16"/>
      <c r="J33" s="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9"/>
      <c r="B34" s="16"/>
      <c r="C34" s="16"/>
      <c r="D34" s="16"/>
      <c r="E34" s="16"/>
      <c r="F34" s="16"/>
      <c r="G34" s="16"/>
      <c r="H34" s="16"/>
      <c r="I34" s="16"/>
      <c r="J34" s="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9"/>
      <c r="B35" s="16"/>
      <c r="C35" s="16"/>
      <c r="D35" s="16"/>
      <c r="E35" s="16"/>
      <c r="F35" s="16"/>
      <c r="G35" s="16"/>
      <c r="H35" s="16"/>
      <c r="I35" s="16"/>
      <c r="J35" s="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9"/>
      <c r="B36" s="16"/>
      <c r="C36" s="16"/>
      <c r="D36" s="16"/>
      <c r="E36" s="16"/>
      <c r="F36" s="16"/>
      <c r="G36" s="16"/>
      <c r="H36" s="16"/>
      <c r="I36" s="16"/>
      <c r="J36" s="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9"/>
      <c r="B37" s="16"/>
      <c r="C37" s="16"/>
      <c r="D37" s="16"/>
      <c r="E37" s="16"/>
      <c r="F37" s="16"/>
      <c r="G37" s="16"/>
      <c r="H37" s="16"/>
      <c r="I37" s="16"/>
      <c r="J37" s="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9"/>
      <c r="B38" s="16"/>
      <c r="C38" s="16"/>
      <c r="D38" s="16"/>
      <c r="E38" s="16"/>
      <c r="F38" s="16"/>
      <c r="G38" s="16"/>
      <c r="H38" s="16"/>
      <c r="I38" s="16"/>
      <c r="J38" s="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9"/>
      <c r="B39" s="16"/>
      <c r="C39" s="16"/>
      <c r="D39" s="16"/>
      <c r="E39" s="16"/>
      <c r="F39" s="16"/>
      <c r="G39" s="16"/>
      <c r="H39" s="16"/>
      <c r="I39" s="16"/>
      <c r="J39" s="7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9"/>
      <c r="B40" s="16"/>
      <c r="C40" s="16"/>
      <c r="D40" s="16"/>
      <c r="E40" s="16"/>
      <c r="F40" s="16"/>
      <c r="G40" s="16"/>
      <c r="H40" s="16"/>
      <c r="I40" s="16"/>
      <c r="J40" s="7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9"/>
      <c r="B41" s="16"/>
      <c r="C41" s="16"/>
      <c r="D41" s="16"/>
      <c r="E41" s="16"/>
      <c r="F41" s="16"/>
      <c r="G41" s="16"/>
      <c r="H41" s="16"/>
      <c r="I41" s="16"/>
      <c r="J41" s="7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9"/>
      <c r="B42" s="16"/>
      <c r="C42" s="16"/>
      <c r="D42" s="16"/>
      <c r="E42" s="16"/>
      <c r="F42" s="16"/>
      <c r="G42" s="16"/>
      <c r="H42" s="16"/>
      <c r="I42" s="16"/>
      <c r="J42" s="7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9"/>
      <c r="B43" s="16"/>
      <c r="C43" s="16"/>
      <c r="D43" s="16"/>
      <c r="E43" s="16"/>
      <c r="F43" s="16"/>
      <c r="G43" s="16"/>
      <c r="H43" s="16"/>
      <c r="I43" s="16"/>
      <c r="J43" s="7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9"/>
      <c r="B44" s="16"/>
      <c r="C44" s="16"/>
      <c r="D44" s="16"/>
      <c r="E44" s="16"/>
      <c r="F44" s="16"/>
      <c r="G44" s="16"/>
      <c r="H44" s="16"/>
      <c r="I44" s="16"/>
      <c r="J44" s="7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9"/>
      <c r="B45" s="16"/>
      <c r="C45" s="16"/>
      <c r="D45" s="16"/>
      <c r="E45" s="16"/>
      <c r="F45" s="16"/>
      <c r="G45" s="16"/>
      <c r="H45" s="16"/>
      <c r="I45" s="16"/>
      <c r="J45" s="7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9"/>
      <c r="B46" s="16"/>
      <c r="C46" s="16"/>
      <c r="D46" s="16"/>
      <c r="E46" s="16"/>
      <c r="F46" s="16"/>
      <c r="G46" s="16"/>
      <c r="H46" s="16"/>
      <c r="I46" s="16"/>
      <c r="J46" s="7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9"/>
      <c r="B47" s="16"/>
      <c r="C47" s="16"/>
      <c r="D47" s="16"/>
      <c r="E47" s="16"/>
      <c r="F47" s="16"/>
      <c r="G47" s="16"/>
      <c r="H47" s="16"/>
      <c r="I47" s="16"/>
      <c r="J47" s="7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9"/>
      <c r="B48" s="16"/>
      <c r="C48" s="16"/>
      <c r="D48" s="16"/>
      <c r="E48" s="16"/>
      <c r="F48" s="16"/>
      <c r="G48" s="16"/>
      <c r="H48" s="16"/>
      <c r="I48" s="16"/>
      <c r="J48" s="7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9"/>
      <c r="B49" s="16"/>
      <c r="C49" s="16"/>
      <c r="D49" s="16"/>
      <c r="E49" s="16"/>
      <c r="F49" s="16"/>
      <c r="G49" s="16"/>
      <c r="H49" s="16"/>
      <c r="I49" s="16"/>
      <c r="J49" s="7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9"/>
      <c r="B50" s="16"/>
      <c r="C50" s="16"/>
      <c r="D50" s="16"/>
      <c r="E50" s="16"/>
      <c r="F50" s="16"/>
      <c r="G50" s="16"/>
      <c r="H50" s="16"/>
      <c r="I50" s="16"/>
      <c r="J50" s="7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9"/>
      <c r="B51" s="16"/>
      <c r="C51" s="16"/>
      <c r="D51" s="16"/>
      <c r="E51" s="16"/>
      <c r="F51" s="16"/>
      <c r="G51" s="16"/>
      <c r="H51" s="16"/>
      <c r="I51" s="16"/>
      <c r="J51" s="7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9"/>
      <c r="B52" s="16"/>
      <c r="C52" s="16"/>
      <c r="D52" s="16"/>
      <c r="E52" s="16"/>
      <c r="F52" s="16"/>
      <c r="G52" s="16"/>
      <c r="H52" s="16"/>
      <c r="I52" s="16"/>
      <c r="J52" s="7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9"/>
      <c r="B53" s="16"/>
      <c r="C53" s="16"/>
      <c r="D53" s="16"/>
      <c r="E53" s="16"/>
      <c r="F53" s="16"/>
      <c r="G53" s="16"/>
      <c r="H53" s="16"/>
      <c r="I53" s="16"/>
      <c r="J53" s="7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9"/>
      <c r="B54" s="16"/>
      <c r="C54" s="16"/>
      <c r="D54" s="16"/>
      <c r="E54" s="16"/>
      <c r="F54" s="16"/>
      <c r="G54" s="16"/>
      <c r="H54" s="16"/>
      <c r="I54" s="16"/>
      <c r="J54" s="7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9"/>
      <c r="B55" s="16"/>
      <c r="C55" s="16"/>
      <c r="D55" s="16"/>
      <c r="E55" s="16"/>
      <c r="F55" s="16"/>
      <c r="G55" s="16"/>
      <c r="H55" s="16"/>
      <c r="I55" s="16"/>
      <c r="J55" s="7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9"/>
      <c r="B56" s="16"/>
      <c r="C56" s="16"/>
      <c r="D56" s="16"/>
      <c r="E56" s="16"/>
      <c r="F56" s="16"/>
      <c r="G56" s="16"/>
      <c r="H56" s="16"/>
      <c r="I56" s="16"/>
      <c r="J56" s="7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9"/>
      <c r="B57" s="16"/>
      <c r="C57" s="16"/>
      <c r="D57" s="16"/>
      <c r="E57" s="16"/>
      <c r="F57" s="16"/>
      <c r="G57" s="16"/>
      <c r="H57" s="16"/>
      <c r="I57" s="16"/>
      <c r="J57" s="7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9"/>
      <c r="B58" s="16"/>
      <c r="C58" s="16"/>
      <c r="D58" s="16"/>
      <c r="E58" s="16"/>
      <c r="F58" s="16"/>
      <c r="G58" s="16"/>
      <c r="H58" s="16"/>
      <c r="I58" s="16"/>
      <c r="J58" s="7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9"/>
      <c r="B59" s="16"/>
      <c r="C59" s="16"/>
      <c r="D59" s="16"/>
      <c r="E59" s="16"/>
      <c r="F59" s="16"/>
      <c r="G59" s="16"/>
      <c r="H59" s="16"/>
      <c r="I59" s="16"/>
      <c r="J59" s="7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9"/>
      <c r="B60" s="16"/>
      <c r="C60" s="16"/>
      <c r="D60" s="16"/>
      <c r="E60" s="16"/>
      <c r="F60" s="16"/>
      <c r="G60" s="16"/>
      <c r="H60" s="16"/>
      <c r="I60" s="16"/>
      <c r="J60" s="7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9"/>
      <c r="B61" s="16"/>
      <c r="C61" s="16"/>
      <c r="D61" s="16"/>
      <c r="E61" s="16"/>
      <c r="F61" s="16"/>
      <c r="G61" s="16"/>
      <c r="H61" s="16"/>
      <c r="I61" s="16"/>
      <c r="J61" s="7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9"/>
      <c r="B62" s="16"/>
      <c r="C62" s="16"/>
      <c r="D62" s="16"/>
      <c r="E62" s="16"/>
      <c r="F62" s="16"/>
      <c r="G62" s="16"/>
      <c r="H62" s="16"/>
      <c r="I62" s="16"/>
      <c r="J62" s="7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9"/>
      <c r="B63" s="16"/>
      <c r="C63" s="16"/>
      <c r="D63" s="16"/>
      <c r="E63" s="16"/>
      <c r="F63" s="16"/>
      <c r="G63" s="16"/>
      <c r="H63" s="16"/>
      <c r="I63" s="16"/>
      <c r="J63" s="7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9"/>
      <c r="B64" s="16"/>
      <c r="C64" s="16"/>
      <c r="D64" s="16"/>
      <c r="E64" s="16"/>
      <c r="F64" s="16"/>
      <c r="G64" s="16"/>
      <c r="H64" s="16"/>
      <c r="I64" s="16"/>
      <c r="J64" s="7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9"/>
      <c r="B65" s="16"/>
      <c r="C65" s="16"/>
      <c r="D65" s="16"/>
      <c r="E65" s="16"/>
      <c r="F65" s="16"/>
      <c r="G65" s="16"/>
      <c r="H65" s="16"/>
      <c r="I65" s="16"/>
      <c r="J65" s="7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9"/>
      <c r="B66" s="16"/>
      <c r="C66" s="16"/>
      <c r="D66" s="16"/>
      <c r="E66" s="16"/>
      <c r="F66" s="16"/>
      <c r="G66" s="16"/>
      <c r="H66" s="16"/>
      <c r="I66" s="16"/>
      <c r="J66" s="7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9"/>
      <c r="B67" s="16"/>
      <c r="C67" s="16"/>
      <c r="D67" s="16"/>
      <c r="E67" s="16"/>
      <c r="F67" s="16"/>
      <c r="G67" s="16"/>
      <c r="H67" s="16"/>
      <c r="I67" s="16"/>
      <c r="J67" s="7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9"/>
      <c r="B68" s="16"/>
      <c r="C68" s="16"/>
      <c r="D68" s="16"/>
      <c r="E68" s="16"/>
      <c r="F68" s="16"/>
      <c r="G68" s="16"/>
      <c r="H68" s="16"/>
      <c r="I68" s="16"/>
      <c r="J68" s="7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9"/>
      <c r="B69" s="16"/>
      <c r="C69" s="16"/>
      <c r="D69" s="16"/>
      <c r="E69" s="16"/>
      <c r="F69" s="16"/>
      <c r="G69" s="16"/>
      <c r="H69" s="16"/>
      <c r="I69" s="16"/>
      <c r="J69" s="7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9"/>
      <c r="B70" s="16"/>
      <c r="C70" s="16"/>
      <c r="D70" s="16"/>
      <c r="E70" s="16"/>
      <c r="F70" s="16"/>
      <c r="G70" s="16"/>
      <c r="H70" s="16"/>
      <c r="I70" s="16"/>
      <c r="J70" s="7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9"/>
      <c r="B71" s="16"/>
      <c r="C71" s="16"/>
      <c r="D71" s="16"/>
      <c r="E71" s="16"/>
      <c r="F71" s="16"/>
      <c r="G71" s="16"/>
      <c r="H71" s="16"/>
      <c r="I71" s="16"/>
      <c r="J71" s="7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9"/>
      <c r="B72" s="16"/>
      <c r="C72" s="16"/>
      <c r="D72" s="16"/>
      <c r="E72" s="16"/>
      <c r="F72" s="16"/>
      <c r="G72" s="16"/>
      <c r="H72" s="16"/>
      <c r="I72" s="16"/>
      <c r="J72" s="7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9"/>
      <c r="B73" s="16"/>
      <c r="C73" s="16"/>
      <c r="D73" s="16"/>
      <c r="E73" s="16"/>
      <c r="F73" s="16"/>
      <c r="G73" s="16"/>
      <c r="H73" s="16"/>
      <c r="I73" s="16"/>
      <c r="J73" s="7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9"/>
      <c r="B74" s="16"/>
      <c r="C74" s="16"/>
      <c r="D74" s="16"/>
      <c r="E74" s="16"/>
      <c r="F74" s="16"/>
      <c r="G74" s="16"/>
      <c r="H74" s="16"/>
      <c r="I74" s="16"/>
      <c r="J74" s="7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9"/>
      <c r="B75" s="16"/>
      <c r="C75" s="16"/>
      <c r="D75" s="16"/>
      <c r="E75" s="16"/>
      <c r="F75" s="16"/>
      <c r="G75" s="16"/>
      <c r="H75" s="16"/>
      <c r="I75" s="16"/>
      <c r="J75" s="7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9"/>
      <c r="B76" s="16"/>
      <c r="C76" s="16"/>
      <c r="D76" s="16"/>
      <c r="E76" s="16"/>
      <c r="F76" s="16"/>
      <c r="G76" s="16"/>
      <c r="H76" s="16"/>
      <c r="I76" s="16"/>
      <c r="J76" s="7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9"/>
      <c r="B77" s="16"/>
      <c r="C77" s="16"/>
      <c r="D77" s="16"/>
      <c r="E77" s="16"/>
      <c r="F77" s="16"/>
      <c r="G77" s="16"/>
      <c r="H77" s="16"/>
      <c r="I77" s="16"/>
      <c r="J77" s="7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9"/>
      <c r="B78" s="16"/>
      <c r="C78" s="16"/>
      <c r="D78" s="16"/>
      <c r="E78" s="16"/>
      <c r="F78" s="16"/>
      <c r="G78" s="16"/>
      <c r="H78" s="16"/>
      <c r="I78" s="16"/>
      <c r="J78" s="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9"/>
      <c r="B79" s="16"/>
      <c r="C79" s="16"/>
      <c r="D79" s="16"/>
      <c r="E79" s="16"/>
      <c r="F79" s="16"/>
      <c r="G79" s="16"/>
      <c r="H79" s="16"/>
      <c r="I79" s="16"/>
      <c r="J79" s="7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9"/>
      <c r="B80" s="16"/>
      <c r="C80" s="16"/>
      <c r="D80" s="16"/>
      <c r="E80" s="16"/>
      <c r="F80" s="16"/>
      <c r="G80" s="16"/>
      <c r="H80" s="16"/>
      <c r="I80" s="16"/>
      <c r="J80" s="7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19"/>
      <c r="B81" s="16"/>
      <c r="C81" s="16"/>
      <c r="D81" s="16"/>
      <c r="E81" s="16"/>
      <c r="F81" s="16"/>
      <c r="G81" s="16"/>
      <c r="H81" s="16"/>
      <c r="I81" s="16"/>
      <c r="J81" s="7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9"/>
      <c r="B82" s="16"/>
      <c r="C82" s="16"/>
      <c r="D82" s="16"/>
      <c r="E82" s="16"/>
      <c r="F82" s="16"/>
      <c r="G82" s="16"/>
      <c r="H82" s="16"/>
      <c r="I82" s="16"/>
      <c r="J82" s="7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9"/>
      <c r="B83" s="16"/>
      <c r="C83" s="16"/>
      <c r="D83" s="16"/>
      <c r="E83" s="16"/>
      <c r="F83" s="16"/>
      <c r="G83" s="16"/>
      <c r="H83" s="16"/>
      <c r="I83" s="16"/>
      <c r="J83" s="7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9"/>
      <c r="B84" s="16"/>
      <c r="C84" s="16"/>
      <c r="D84" s="16"/>
      <c r="E84" s="16"/>
      <c r="F84" s="16"/>
      <c r="G84" s="16"/>
      <c r="H84" s="16"/>
      <c r="I84" s="16"/>
      <c r="J84" s="7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9"/>
      <c r="B85" s="16"/>
      <c r="C85" s="16"/>
      <c r="D85" s="16"/>
      <c r="E85" s="16"/>
      <c r="F85" s="16"/>
      <c r="G85" s="16"/>
      <c r="H85" s="16"/>
      <c r="I85" s="16"/>
      <c r="J85" s="7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9"/>
      <c r="B86" s="16"/>
      <c r="C86" s="16"/>
      <c r="D86" s="16"/>
      <c r="E86" s="16"/>
      <c r="F86" s="16"/>
      <c r="G86" s="16"/>
      <c r="H86" s="16"/>
      <c r="I86" s="16"/>
      <c r="J86" s="7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9"/>
      <c r="B87" s="16"/>
      <c r="C87" s="16"/>
      <c r="D87" s="16"/>
      <c r="E87" s="16"/>
      <c r="F87" s="16"/>
      <c r="G87" s="16"/>
      <c r="H87" s="16"/>
      <c r="I87" s="16"/>
      <c r="J87" s="7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9"/>
      <c r="B88" s="16"/>
      <c r="C88" s="16"/>
      <c r="D88" s="16"/>
      <c r="E88" s="16"/>
      <c r="F88" s="16"/>
      <c r="G88" s="16"/>
      <c r="H88" s="16"/>
      <c r="I88" s="16"/>
      <c r="J88" s="7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9"/>
      <c r="B89" s="16"/>
      <c r="C89" s="16"/>
      <c r="D89" s="16"/>
      <c r="E89" s="16"/>
      <c r="F89" s="16"/>
      <c r="G89" s="16"/>
      <c r="H89" s="16"/>
      <c r="I89" s="16"/>
      <c r="J89" s="7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9"/>
      <c r="B90" s="16"/>
      <c r="C90" s="16"/>
      <c r="D90" s="16"/>
      <c r="E90" s="16"/>
      <c r="F90" s="16"/>
      <c r="G90" s="16"/>
      <c r="H90" s="16"/>
      <c r="I90" s="16"/>
      <c r="J90" s="7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9"/>
      <c r="B91" s="16"/>
      <c r="C91" s="16"/>
      <c r="D91" s="16"/>
      <c r="E91" s="16"/>
      <c r="F91" s="16"/>
      <c r="G91" s="16"/>
      <c r="H91" s="16"/>
      <c r="I91" s="16"/>
      <c r="J91" s="7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9"/>
      <c r="B92" s="16"/>
      <c r="C92" s="16"/>
      <c r="D92" s="16"/>
      <c r="E92" s="16"/>
      <c r="F92" s="16"/>
      <c r="G92" s="16"/>
      <c r="H92" s="16"/>
      <c r="I92" s="16"/>
      <c r="J92" s="7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9"/>
      <c r="B93" s="16"/>
      <c r="C93" s="16"/>
      <c r="D93" s="16"/>
      <c r="E93" s="16"/>
      <c r="F93" s="16"/>
      <c r="G93" s="16"/>
      <c r="H93" s="16"/>
      <c r="I93" s="16"/>
      <c r="J93" s="7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9"/>
      <c r="B94" s="16"/>
      <c r="C94" s="16"/>
      <c r="D94" s="16"/>
      <c r="E94" s="16"/>
      <c r="F94" s="16"/>
      <c r="G94" s="16"/>
      <c r="H94" s="16"/>
      <c r="I94" s="16"/>
      <c r="J94" s="7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9"/>
      <c r="B95" s="16"/>
      <c r="C95" s="16"/>
      <c r="D95" s="16"/>
      <c r="E95" s="16"/>
      <c r="F95" s="16"/>
      <c r="G95" s="16"/>
      <c r="H95" s="16"/>
      <c r="I95" s="16"/>
      <c r="J95" s="7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9"/>
      <c r="B96" s="16"/>
      <c r="C96" s="16"/>
      <c r="D96" s="16"/>
      <c r="E96" s="16"/>
      <c r="F96" s="16"/>
      <c r="G96" s="16"/>
      <c r="H96" s="16"/>
      <c r="I96" s="16"/>
      <c r="J96" s="7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9"/>
      <c r="B97" s="16"/>
      <c r="C97" s="16"/>
      <c r="D97" s="16"/>
      <c r="E97" s="16"/>
      <c r="F97" s="16"/>
      <c r="G97" s="16"/>
      <c r="H97" s="16"/>
      <c r="I97" s="16"/>
      <c r="J97" s="7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9"/>
      <c r="B98" s="16"/>
      <c r="C98" s="16"/>
      <c r="D98" s="16"/>
      <c r="E98" s="16"/>
      <c r="F98" s="16"/>
      <c r="G98" s="16"/>
      <c r="H98" s="16"/>
      <c r="I98" s="16"/>
      <c r="J98" s="7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9"/>
      <c r="B99" s="16"/>
      <c r="C99" s="16"/>
      <c r="D99" s="16"/>
      <c r="E99" s="16"/>
      <c r="F99" s="16"/>
      <c r="G99" s="16"/>
      <c r="H99" s="16"/>
      <c r="I99" s="16"/>
      <c r="J99" s="7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9"/>
      <c r="B100" s="16"/>
      <c r="C100" s="16"/>
      <c r="D100" s="16"/>
      <c r="E100" s="16"/>
      <c r="F100" s="16"/>
      <c r="G100" s="16"/>
      <c r="H100" s="16"/>
      <c r="I100" s="16"/>
      <c r="J100" s="7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9"/>
      <c r="B101" s="16"/>
      <c r="C101" s="16"/>
      <c r="D101" s="16"/>
      <c r="E101" s="16"/>
      <c r="F101" s="16"/>
      <c r="G101" s="16"/>
      <c r="H101" s="16"/>
      <c r="I101" s="16"/>
      <c r="J101" s="7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9"/>
      <c r="B102" s="16"/>
      <c r="C102" s="16"/>
      <c r="D102" s="16"/>
      <c r="E102" s="16"/>
      <c r="F102" s="16"/>
      <c r="G102" s="16"/>
      <c r="H102" s="16"/>
      <c r="I102" s="16"/>
      <c r="J102" s="7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9"/>
      <c r="B103" s="16"/>
      <c r="C103" s="16"/>
      <c r="D103" s="16"/>
      <c r="E103" s="16"/>
      <c r="F103" s="16"/>
      <c r="G103" s="16"/>
      <c r="H103" s="16"/>
      <c r="I103" s="16"/>
      <c r="J103" s="7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9"/>
      <c r="B104" s="16"/>
      <c r="C104" s="16"/>
      <c r="D104" s="16"/>
      <c r="E104" s="16"/>
      <c r="F104" s="16"/>
      <c r="G104" s="16"/>
      <c r="H104" s="16"/>
      <c r="I104" s="16"/>
      <c r="J104" s="7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9"/>
      <c r="B105" s="16"/>
      <c r="C105" s="16"/>
      <c r="D105" s="16"/>
      <c r="E105" s="16"/>
      <c r="F105" s="16"/>
      <c r="G105" s="16"/>
      <c r="H105" s="16"/>
      <c r="I105" s="16"/>
      <c r="J105" s="7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9"/>
      <c r="B106" s="16"/>
      <c r="C106" s="16"/>
      <c r="D106" s="16"/>
      <c r="E106" s="16"/>
      <c r="F106" s="16"/>
      <c r="G106" s="16"/>
      <c r="H106" s="16"/>
      <c r="I106" s="16"/>
      <c r="J106" s="7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9"/>
      <c r="B107" s="16"/>
      <c r="C107" s="16"/>
      <c r="D107" s="16"/>
      <c r="E107" s="16"/>
      <c r="F107" s="16"/>
      <c r="G107" s="16"/>
      <c r="H107" s="16"/>
      <c r="I107" s="16"/>
      <c r="J107" s="7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9"/>
      <c r="B108" s="16"/>
      <c r="C108" s="16"/>
      <c r="D108" s="16"/>
      <c r="E108" s="16"/>
      <c r="F108" s="16"/>
      <c r="G108" s="16"/>
      <c r="H108" s="16"/>
      <c r="I108" s="16"/>
      <c r="J108" s="7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9"/>
      <c r="B109" s="16"/>
      <c r="C109" s="16"/>
      <c r="D109" s="16"/>
      <c r="E109" s="16"/>
      <c r="F109" s="16"/>
      <c r="G109" s="16"/>
      <c r="H109" s="16"/>
      <c r="I109" s="16"/>
      <c r="J109" s="7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9"/>
      <c r="B110" s="16"/>
      <c r="C110" s="16"/>
      <c r="D110" s="16"/>
      <c r="E110" s="16"/>
      <c r="F110" s="16"/>
      <c r="G110" s="16"/>
      <c r="H110" s="16"/>
      <c r="I110" s="16"/>
      <c r="J110" s="7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9"/>
      <c r="B111" s="16"/>
      <c r="C111" s="16"/>
      <c r="D111" s="16"/>
      <c r="E111" s="16"/>
      <c r="F111" s="16"/>
      <c r="G111" s="16"/>
      <c r="H111" s="16"/>
      <c r="I111" s="16"/>
      <c r="J111" s="7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9"/>
      <c r="B112" s="16"/>
      <c r="C112" s="16"/>
      <c r="D112" s="16"/>
      <c r="E112" s="16"/>
      <c r="F112" s="16"/>
      <c r="G112" s="16"/>
      <c r="H112" s="16"/>
      <c r="I112" s="16"/>
      <c r="J112" s="7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9"/>
      <c r="B113" s="16"/>
      <c r="C113" s="16"/>
      <c r="D113" s="16"/>
      <c r="E113" s="16"/>
      <c r="F113" s="16"/>
      <c r="G113" s="16"/>
      <c r="H113" s="16"/>
      <c r="I113" s="16"/>
      <c r="J113" s="7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9"/>
      <c r="B114" s="16"/>
      <c r="C114" s="16"/>
      <c r="D114" s="16"/>
      <c r="E114" s="16"/>
      <c r="F114" s="16"/>
      <c r="G114" s="16"/>
      <c r="H114" s="16"/>
      <c r="I114" s="16"/>
      <c r="J114" s="7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9"/>
      <c r="B115" s="16"/>
      <c r="C115" s="16"/>
      <c r="D115" s="16"/>
      <c r="E115" s="16"/>
      <c r="F115" s="16"/>
      <c r="G115" s="16"/>
      <c r="H115" s="16"/>
      <c r="I115" s="16"/>
      <c r="J115" s="7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9"/>
      <c r="B116" s="16"/>
      <c r="C116" s="16"/>
      <c r="D116" s="16"/>
      <c r="E116" s="16"/>
      <c r="F116" s="16"/>
      <c r="G116" s="16"/>
      <c r="H116" s="16"/>
      <c r="I116" s="16"/>
      <c r="J116" s="7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9"/>
      <c r="B117" s="16"/>
      <c r="C117" s="16"/>
      <c r="D117" s="16"/>
      <c r="E117" s="16"/>
      <c r="F117" s="16"/>
      <c r="G117" s="16"/>
      <c r="H117" s="16"/>
      <c r="I117" s="16"/>
      <c r="J117" s="7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9"/>
      <c r="B118" s="16"/>
      <c r="C118" s="16"/>
      <c r="D118" s="16"/>
      <c r="E118" s="16"/>
      <c r="F118" s="16"/>
      <c r="G118" s="16"/>
      <c r="H118" s="16"/>
      <c r="I118" s="16"/>
      <c r="J118" s="7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9"/>
      <c r="B119" s="16"/>
      <c r="C119" s="16"/>
      <c r="D119" s="16"/>
      <c r="E119" s="16"/>
      <c r="F119" s="16"/>
      <c r="G119" s="16"/>
      <c r="H119" s="16"/>
      <c r="I119" s="16"/>
      <c r="J119" s="7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9"/>
      <c r="B120" s="16"/>
      <c r="C120" s="16"/>
      <c r="D120" s="16"/>
      <c r="E120" s="16"/>
      <c r="F120" s="16"/>
      <c r="G120" s="16"/>
      <c r="H120" s="16"/>
      <c r="I120" s="16"/>
      <c r="J120" s="7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9"/>
      <c r="B121" s="16"/>
      <c r="C121" s="16"/>
      <c r="D121" s="16"/>
      <c r="E121" s="16"/>
      <c r="F121" s="16"/>
      <c r="G121" s="16"/>
      <c r="H121" s="16"/>
      <c r="I121" s="16"/>
      <c r="J121" s="7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9"/>
      <c r="B122" s="16"/>
      <c r="C122" s="16"/>
      <c r="D122" s="16"/>
      <c r="E122" s="16"/>
      <c r="F122" s="16"/>
      <c r="G122" s="16"/>
      <c r="H122" s="16"/>
      <c r="I122" s="16"/>
      <c r="J122" s="7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9"/>
      <c r="B123" s="16"/>
      <c r="C123" s="16"/>
      <c r="D123" s="16"/>
      <c r="E123" s="16"/>
      <c r="F123" s="16"/>
      <c r="G123" s="16"/>
      <c r="H123" s="16"/>
      <c r="I123" s="16"/>
      <c r="J123" s="7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9"/>
      <c r="B124" s="16"/>
      <c r="C124" s="16"/>
      <c r="D124" s="16"/>
      <c r="E124" s="16"/>
      <c r="F124" s="16"/>
      <c r="G124" s="16"/>
      <c r="H124" s="16"/>
      <c r="I124" s="16"/>
      <c r="J124" s="7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9"/>
      <c r="B125" s="16"/>
      <c r="C125" s="16"/>
      <c r="D125" s="16"/>
      <c r="E125" s="16"/>
      <c r="F125" s="16"/>
      <c r="G125" s="16"/>
      <c r="H125" s="16"/>
      <c r="I125" s="16"/>
      <c r="J125" s="7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9"/>
      <c r="B126" s="16"/>
      <c r="C126" s="16"/>
      <c r="D126" s="16"/>
      <c r="E126" s="16"/>
      <c r="F126" s="16"/>
      <c r="G126" s="16"/>
      <c r="H126" s="16"/>
      <c r="I126" s="16"/>
      <c r="J126" s="7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9"/>
      <c r="B127" s="16"/>
      <c r="C127" s="16"/>
      <c r="D127" s="16"/>
      <c r="E127" s="16"/>
      <c r="F127" s="16"/>
      <c r="G127" s="16"/>
      <c r="H127" s="16"/>
      <c r="I127" s="16"/>
      <c r="J127" s="7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9"/>
      <c r="B128" s="16"/>
      <c r="C128" s="16"/>
      <c r="D128" s="16"/>
      <c r="E128" s="16"/>
      <c r="F128" s="16"/>
      <c r="G128" s="16"/>
      <c r="H128" s="16"/>
      <c r="I128" s="16"/>
      <c r="J128" s="7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9"/>
      <c r="B129" s="16"/>
      <c r="C129" s="16"/>
      <c r="D129" s="16"/>
      <c r="E129" s="16"/>
      <c r="F129" s="16"/>
      <c r="G129" s="16"/>
      <c r="H129" s="16"/>
      <c r="I129" s="16"/>
      <c r="J129" s="7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9"/>
      <c r="B130" s="16"/>
      <c r="C130" s="16"/>
      <c r="D130" s="16"/>
      <c r="E130" s="16"/>
      <c r="F130" s="16"/>
      <c r="G130" s="16"/>
      <c r="H130" s="16"/>
      <c r="I130" s="16"/>
      <c r="J130" s="7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9"/>
      <c r="B131" s="16"/>
      <c r="C131" s="16"/>
      <c r="D131" s="16"/>
      <c r="E131" s="16"/>
      <c r="F131" s="16"/>
      <c r="G131" s="16"/>
      <c r="H131" s="16"/>
      <c r="I131" s="16"/>
      <c r="J131" s="7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9"/>
      <c r="B132" s="16"/>
      <c r="C132" s="16"/>
      <c r="D132" s="16"/>
      <c r="E132" s="16"/>
      <c r="F132" s="16"/>
      <c r="G132" s="16"/>
      <c r="H132" s="16"/>
      <c r="I132" s="16"/>
      <c r="J132" s="7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9"/>
      <c r="B133" s="16"/>
      <c r="C133" s="16"/>
      <c r="D133" s="16"/>
      <c r="E133" s="16"/>
      <c r="F133" s="16"/>
      <c r="G133" s="16"/>
      <c r="H133" s="16"/>
      <c r="I133" s="16"/>
      <c r="J133" s="7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9"/>
      <c r="B134" s="16"/>
      <c r="C134" s="16"/>
      <c r="D134" s="16"/>
      <c r="E134" s="16"/>
      <c r="F134" s="16"/>
      <c r="G134" s="16"/>
      <c r="H134" s="16"/>
      <c r="I134" s="16"/>
      <c r="J134" s="7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9"/>
      <c r="B135" s="16"/>
      <c r="C135" s="16"/>
      <c r="D135" s="16"/>
      <c r="E135" s="16"/>
      <c r="F135" s="16"/>
      <c r="G135" s="16"/>
      <c r="H135" s="16"/>
      <c r="I135" s="16"/>
      <c r="J135" s="7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9"/>
      <c r="B136" s="16"/>
      <c r="C136" s="16"/>
      <c r="D136" s="16"/>
      <c r="E136" s="16"/>
      <c r="F136" s="16"/>
      <c r="G136" s="16"/>
      <c r="H136" s="16"/>
      <c r="I136" s="16"/>
      <c r="J136" s="7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9"/>
      <c r="B137" s="16"/>
      <c r="C137" s="16"/>
      <c r="D137" s="16"/>
      <c r="E137" s="16"/>
      <c r="F137" s="16"/>
      <c r="G137" s="16"/>
      <c r="H137" s="16"/>
      <c r="I137" s="16"/>
      <c r="J137" s="7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9"/>
      <c r="B138" s="16"/>
      <c r="C138" s="16"/>
      <c r="D138" s="16"/>
      <c r="E138" s="16"/>
      <c r="F138" s="16"/>
      <c r="G138" s="16"/>
      <c r="H138" s="16"/>
      <c r="I138" s="16"/>
      <c r="J138" s="7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9"/>
      <c r="B139" s="16"/>
      <c r="C139" s="16"/>
      <c r="D139" s="16"/>
      <c r="E139" s="16"/>
      <c r="F139" s="16"/>
      <c r="G139" s="16"/>
      <c r="H139" s="16"/>
      <c r="I139" s="16"/>
      <c r="J139" s="7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9"/>
      <c r="B140" s="16"/>
      <c r="C140" s="16"/>
      <c r="D140" s="16"/>
      <c r="E140" s="16"/>
      <c r="F140" s="16"/>
      <c r="G140" s="16"/>
      <c r="H140" s="16"/>
      <c r="I140" s="16"/>
      <c r="J140" s="7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9"/>
      <c r="B141" s="16"/>
      <c r="C141" s="16"/>
      <c r="D141" s="16"/>
      <c r="E141" s="16"/>
      <c r="F141" s="16"/>
      <c r="G141" s="16"/>
      <c r="H141" s="16"/>
      <c r="I141" s="16"/>
      <c r="J141" s="7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9"/>
      <c r="B142" s="16"/>
      <c r="C142" s="16"/>
      <c r="D142" s="16"/>
      <c r="E142" s="16"/>
      <c r="F142" s="16"/>
      <c r="G142" s="16"/>
      <c r="H142" s="16"/>
      <c r="I142" s="16"/>
      <c r="J142" s="7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9"/>
      <c r="B143" s="16"/>
      <c r="C143" s="16"/>
      <c r="D143" s="16"/>
      <c r="E143" s="16"/>
      <c r="F143" s="16"/>
      <c r="G143" s="16"/>
      <c r="H143" s="16"/>
      <c r="I143" s="16"/>
      <c r="J143" s="7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9"/>
      <c r="B144" s="16"/>
      <c r="C144" s="16"/>
      <c r="D144" s="16"/>
      <c r="E144" s="16"/>
      <c r="F144" s="16"/>
      <c r="G144" s="16"/>
      <c r="H144" s="16"/>
      <c r="I144" s="16"/>
      <c r="J144" s="7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9"/>
      <c r="B145" s="16"/>
      <c r="C145" s="16"/>
      <c r="D145" s="16"/>
      <c r="E145" s="16"/>
      <c r="F145" s="16"/>
      <c r="G145" s="16"/>
      <c r="H145" s="16"/>
      <c r="I145" s="16"/>
      <c r="J145" s="7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9"/>
      <c r="B146" s="16"/>
      <c r="C146" s="16"/>
      <c r="D146" s="16"/>
      <c r="E146" s="16"/>
      <c r="F146" s="16"/>
      <c r="G146" s="16"/>
      <c r="H146" s="16"/>
      <c r="I146" s="16"/>
      <c r="J146" s="7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9"/>
      <c r="B147" s="16"/>
      <c r="C147" s="16"/>
      <c r="D147" s="16"/>
      <c r="E147" s="16"/>
      <c r="F147" s="16"/>
      <c r="G147" s="16"/>
      <c r="H147" s="16"/>
      <c r="I147" s="16"/>
      <c r="J147" s="7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9"/>
      <c r="B148" s="16"/>
      <c r="C148" s="16"/>
      <c r="D148" s="16"/>
      <c r="E148" s="16"/>
      <c r="F148" s="16"/>
      <c r="G148" s="16"/>
      <c r="H148" s="16"/>
      <c r="I148" s="16"/>
      <c r="J148" s="7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9"/>
      <c r="B149" s="16"/>
      <c r="C149" s="16"/>
      <c r="D149" s="16"/>
      <c r="E149" s="16"/>
      <c r="F149" s="16"/>
      <c r="G149" s="16"/>
      <c r="H149" s="16"/>
      <c r="I149" s="16"/>
      <c r="J149" s="7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9"/>
      <c r="B150" s="16"/>
      <c r="C150" s="16"/>
      <c r="D150" s="16"/>
      <c r="E150" s="16"/>
      <c r="F150" s="16"/>
      <c r="G150" s="16"/>
      <c r="H150" s="16"/>
      <c r="I150" s="16"/>
      <c r="J150" s="7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9"/>
      <c r="B151" s="16"/>
      <c r="C151" s="16"/>
      <c r="D151" s="16"/>
      <c r="E151" s="16"/>
      <c r="F151" s="16"/>
      <c r="G151" s="16"/>
      <c r="H151" s="16"/>
      <c r="I151" s="16"/>
      <c r="J151" s="7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9"/>
      <c r="B152" s="16"/>
      <c r="C152" s="16"/>
      <c r="D152" s="16"/>
      <c r="E152" s="16"/>
      <c r="F152" s="16"/>
      <c r="G152" s="16"/>
      <c r="H152" s="16"/>
      <c r="I152" s="16"/>
      <c r="J152" s="7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9"/>
      <c r="B153" s="16"/>
      <c r="C153" s="16"/>
      <c r="D153" s="16"/>
      <c r="E153" s="16"/>
      <c r="F153" s="16"/>
      <c r="G153" s="16"/>
      <c r="H153" s="16"/>
      <c r="I153" s="16"/>
      <c r="J153" s="7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9"/>
      <c r="B154" s="16"/>
      <c r="C154" s="16"/>
      <c r="D154" s="16"/>
      <c r="E154" s="16"/>
      <c r="F154" s="16"/>
      <c r="G154" s="16"/>
      <c r="H154" s="16"/>
      <c r="I154" s="16"/>
      <c r="J154" s="7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9"/>
      <c r="B155" s="16"/>
      <c r="C155" s="16"/>
      <c r="D155" s="16"/>
      <c r="E155" s="16"/>
      <c r="F155" s="16"/>
      <c r="G155" s="16"/>
      <c r="H155" s="16"/>
      <c r="I155" s="16"/>
      <c r="J155" s="7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9"/>
      <c r="B156" s="16"/>
      <c r="C156" s="16"/>
      <c r="D156" s="16"/>
      <c r="E156" s="16"/>
      <c r="F156" s="16"/>
      <c r="G156" s="16"/>
      <c r="H156" s="16"/>
      <c r="I156" s="16"/>
      <c r="J156" s="7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9"/>
      <c r="B157" s="16"/>
      <c r="C157" s="16"/>
      <c r="D157" s="16"/>
      <c r="E157" s="16"/>
      <c r="F157" s="16"/>
      <c r="G157" s="16"/>
      <c r="H157" s="16"/>
      <c r="I157" s="16"/>
      <c r="J157" s="7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9"/>
      <c r="B158" s="16"/>
      <c r="C158" s="16"/>
      <c r="D158" s="16"/>
      <c r="E158" s="16"/>
      <c r="F158" s="16"/>
      <c r="G158" s="16"/>
      <c r="H158" s="16"/>
      <c r="I158" s="16"/>
      <c r="J158" s="7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9"/>
      <c r="B159" s="16"/>
      <c r="C159" s="16"/>
      <c r="D159" s="16"/>
      <c r="E159" s="16"/>
      <c r="F159" s="16"/>
      <c r="G159" s="16"/>
      <c r="H159" s="16"/>
      <c r="I159" s="16"/>
      <c r="J159" s="7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9"/>
      <c r="B160" s="16"/>
      <c r="C160" s="16"/>
      <c r="D160" s="16"/>
      <c r="E160" s="16"/>
      <c r="F160" s="16"/>
      <c r="G160" s="16"/>
      <c r="H160" s="16"/>
      <c r="I160" s="16"/>
      <c r="J160" s="7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9"/>
      <c r="B161" s="16"/>
      <c r="C161" s="16"/>
      <c r="D161" s="16"/>
      <c r="E161" s="16"/>
      <c r="F161" s="16"/>
      <c r="G161" s="16"/>
      <c r="H161" s="16"/>
      <c r="I161" s="16"/>
      <c r="J161" s="7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9"/>
      <c r="B162" s="16"/>
      <c r="C162" s="16"/>
      <c r="D162" s="16"/>
      <c r="E162" s="16"/>
      <c r="F162" s="16"/>
      <c r="G162" s="16"/>
      <c r="H162" s="16"/>
      <c r="I162" s="16"/>
      <c r="J162" s="7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9"/>
      <c r="B163" s="16"/>
      <c r="C163" s="16"/>
      <c r="D163" s="16"/>
      <c r="E163" s="16"/>
      <c r="F163" s="16"/>
      <c r="G163" s="16"/>
      <c r="H163" s="16"/>
      <c r="I163" s="16"/>
      <c r="J163" s="7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9"/>
      <c r="B164" s="16"/>
      <c r="C164" s="16"/>
      <c r="D164" s="16"/>
      <c r="E164" s="16"/>
      <c r="F164" s="16"/>
      <c r="G164" s="16"/>
      <c r="H164" s="16"/>
      <c r="I164" s="16"/>
      <c r="J164" s="7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9"/>
      <c r="B165" s="16"/>
      <c r="C165" s="16"/>
      <c r="D165" s="16"/>
      <c r="E165" s="16"/>
      <c r="F165" s="16"/>
      <c r="G165" s="16"/>
      <c r="H165" s="16"/>
      <c r="I165" s="16"/>
      <c r="J165" s="7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9"/>
      <c r="B166" s="16"/>
      <c r="C166" s="16"/>
      <c r="D166" s="16"/>
      <c r="E166" s="16"/>
      <c r="F166" s="16"/>
      <c r="G166" s="16"/>
      <c r="H166" s="16"/>
      <c r="I166" s="16"/>
      <c r="J166" s="7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9"/>
      <c r="B167" s="16"/>
      <c r="C167" s="16"/>
      <c r="D167" s="16"/>
      <c r="E167" s="16"/>
      <c r="F167" s="16"/>
      <c r="G167" s="16"/>
      <c r="H167" s="16"/>
      <c r="I167" s="16"/>
      <c r="J167" s="7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9"/>
      <c r="B168" s="16"/>
      <c r="C168" s="16"/>
      <c r="D168" s="16"/>
      <c r="E168" s="16"/>
      <c r="F168" s="16"/>
      <c r="G168" s="16"/>
      <c r="H168" s="16"/>
      <c r="I168" s="16"/>
      <c r="J168" s="7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9"/>
      <c r="B169" s="16"/>
      <c r="C169" s="16"/>
      <c r="D169" s="16"/>
      <c r="E169" s="16"/>
      <c r="F169" s="16"/>
      <c r="G169" s="16"/>
      <c r="H169" s="16"/>
      <c r="I169" s="16"/>
      <c r="J169" s="7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9"/>
      <c r="B170" s="16"/>
      <c r="C170" s="16"/>
      <c r="D170" s="16"/>
      <c r="E170" s="16"/>
      <c r="F170" s="16"/>
      <c r="G170" s="16"/>
      <c r="H170" s="16"/>
      <c r="I170" s="16"/>
      <c r="J170" s="7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9"/>
      <c r="B171" s="16"/>
      <c r="C171" s="16"/>
      <c r="D171" s="16"/>
      <c r="E171" s="16"/>
      <c r="F171" s="16"/>
      <c r="G171" s="16"/>
      <c r="H171" s="16"/>
      <c r="I171" s="16"/>
      <c r="J171" s="7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9"/>
      <c r="B172" s="16"/>
      <c r="C172" s="16"/>
      <c r="D172" s="16"/>
      <c r="E172" s="16"/>
      <c r="F172" s="16"/>
      <c r="G172" s="16"/>
      <c r="H172" s="16"/>
      <c r="I172" s="16"/>
      <c r="J172" s="7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9"/>
      <c r="B173" s="16"/>
      <c r="C173" s="16"/>
      <c r="D173" s="16"/>
      <c r="E173" s="16"/>
      <c r="F173" s="16"/>
      <c r="G173" s="16"/>
      <c r="H173" s="16"/>
      <c r="I173" s="16"/>
      <c r="J173" s="7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9"/>
      <c r="B174" s="16"/>
      <c r="C174" s="16"/>
      <c r="D174" s="16"/>
      <c r="E174" s="16"/>
      <c r="F174" s="16"/>
      <c r="G174" s="16"/>
      <c r="H174" s="16"/>
      <c r="I174" s="16"/>
      <c r="J174" s="7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9"/>
      <c r="B175" s="16"/>
      <c r="C175" s="16"/>
      <c r="D175" s="16"/>
      <c r="E175" s="16"/>
      <c r="F175" s="16"/>
      <c r="G175" s="16"/>
      <c r="H175" s="16"/>
      <c r="I175" s="16"/>
      <c r="J175" s="7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9"/>
      <c r="B176" s="16"/>
      <c r="C176" s="16"/>
      <c r="D176" s="16"/>
      <c r="E176" s="16"/>
      <c r="F176" s="16"/>
      <c r="G176" s="16"/>
      <c r="H176" s="16"/>
      <c r="I176" s="16"/>
      <c r="J176" s="7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9"/>
      <c r="B177" s="16"/>
      <c r="C177" s="16"/>
      <c r="D177" s="16"/>
      <c r="E177" s="16"/>
      <c r="F177" s="16"/>
      <c r="G177" s="16"/>
      <c r="H177" s="16"/>
      <c r="I177" s="16"/>
      <c r="J177" s="7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9"/>
      <c r="B178" s="16"/>
      <c r="C178" s="16"/>
      <c r="D178" s="16"/>
      <c r="E178" s="16"/>
      <c r="F178" s="16"/>
      <c r="G178" s="16"/>
      <c r="H178" s="16"/>
      <c r="I178" s="16"/>
      <c r="J178" s="7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9"/>
      <c r="B179" s="16"/>
      <c r="C179" s="16"/>
      <c r="D179" s="16"/>
      <c r="E179" s="16"/>
      <c r="F179" s="16"/>
      <c r="G179" s="16"/>
      <c r="H179" s="16"/>
      <c r="I179" s="16"/>
      <c r="J179" s="7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9"/>
      <c r="B180" s="16"/>
      <c r="C180" s="16"/>
      <c r="D180" s="16"/>
      <c r="E180" s="16"/>
      <c r="F180" s="16"/>
      <c r="G180" s="16"/>
      <c r="H180" s="16"/>
      <c r="I180" s="16"/>
      <c r="J180" s="7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9"/>
      <c r="B181" s="16"/>
      <c r="C181" s="16"/>
      <c r="D181" s="16"/>
      <c r="E181" s="16"/>
      <c r="F181" s="16"/>
      <c r="G181" s="16"/>
      <c r="H181" s="16"/>
      <c r="I181" s="16"/>
      <c r="J181" s="7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9"/>
      <c r="B182" s="16"/>
      <c r="C182" s="16"/>
      <c r="D182" s="16"/>
      <c r="E182" s="16"/>
      <c r="F182" s="16"/>
      <c r="G182" s="16"/>
      <c r="H182" s="16"/>
      <c r="I182" s="16"/>
      <c r="J182" s="7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9"/>
      <c r="B183" s="16"/>
      <c r="C183" s="16"/>
      <c r="D183" s="16"/>
      <c r="E183" s="16"/>
      <c r="F183" s="16"/>
      <c r="G183" s="16"/>
      <c r="H183" s="16"/>
      <c r="I183" s="16"/>
      <c r="J183" s="7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9"/>
      <c r="B184" s="16"/>
      <c r="C184" s="16"/>
      <c r="D184" s="16"/>
      <c r="E184" s="16"/>
      <c r="F184" s="16"/>
      <c r="G184" s="16"/>
      <c r="H184" s="16"/>
      <c r="I184" s="16"/>
      <c r="J184" s="7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9"/>
      <c r="B185" s="16"/>
      <c r="C185" s="16"/>
      <c r="D185" s="16"/>
      <c r="E185" s="16"/>
      <c r="F185" s="16"/>
      <c r="G185" s="16"/>
      <c r="H185" s="16"/>
      <c r="I185" s="16"/>
      <c r="J185" s="7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9"/>
      <c r="B186" s="16"/>
      <c r="C186" s="16"/>
      <c r="D186" s="16"/>
      <c r="E186" s="16"/>
      <c r="F186" s="16"/>
      <c r="G186" s="16"/>
      <c r="H186" s="16"/>
      <c r="I186" s="16"/>
      <c r="J186" s="7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9"/>
      <c r="B187" s="16"/>
      <c r="C187" s="16"/>
      <c r="D187" s="16"/>
      <c r="E187" s="16"/>
      <c r="F187" s="16"/>
      <c r="G187" s="16"/>
      <c r="H187" s="16"/>
      <c r="I187" s="16"/>
      <c r="J187" s="7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9"/>
      <c r="B188" s="16"/>
      <c r="C188" s="16"/>
      <c r="D188" s="16"/>
      <c r="E188" s="16"/>
      <c r="F188" s="16"/>
      <c r="G188" s="16"/>
      <c r="H188" s="16"/>
      <c r="I188" s="16"/>
      <c r="J188" s="7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9"/>
      <c r="B189" s="16"/>
      <c r="C189" s="16"/>
      <c r="D189" s="16"/>
      <c r="E189" s="16"/>
      <c r="F189" s="16"/>
      <c r="G189" s="16"/>
      <c r="H189" s="16"/>
      <c r="I189" s="16"/>
      <c r="J189" s="7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9"/>
      <c r="B190" s="16"/>
      <c r="C190" s="16"/>
      <c r="D190" s="16"/>
      <c r="E190" s="16"/>
      <c r="F190" s="16"/>
      <c r="G190" s="16"/>
      <c r="H190" s="16"/>
      <c r="I190" s="16"/>
      <c r="J190" s="7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9"/>
      <c r="B191" s="16"/>
      <c r="C191" s="16"/>
      <c r="D191" s="16"/>
      <c r="E191" s="16"/>
      <c r="F191" s="16"/>
      <c r="G191" s="16"/>
      <c r="H191" s="16"/>
      <c r="I191" s="16"/>
      <c r="J191" s="7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9"/>
      <c r="B192" s="16"/>
      <c r="C192" s="16"/>
      <c r="D192" s="16"/>
      <c r="E192" s="16"/>
      <c r="F192" s="16"/>
      <c r="G192" s="16"/>
      <c r="H192" s="16"/>
      <c r="I192" s="16"/>
      <c r="J192" s="7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9"/>
      <c r="B193" s="16"/>
      <c r="C193" s="16"/>
      <c r="D193" s="16"/>
      <c r="E193" s="16"/>
      <c r="F193" s="16"/>
      <c r="G193" s="16"/>
      <c r="H193" s="16"/>
      <c r="I193" s="16"/>
      <c r="J193" s="7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9"/>
      <c r="B194" s="16"/>
      <c r="C194" s="16"/>
      <c r="D194" s="16"/>
      <c r="E194" s="16"/>
      <c r="F194" s="16"/>
      <c r="G194" s="16"/>
      <c r="H194" s="16"/>
      <c r="I194" s="16"/>
      <c r="J194" s="7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9"/>
      <c r="B195" s="16"/>
      <c r="C195" s="16"/>
      <c r="D195" s="16"/>
      <c r="E195" s="16"/>
      <c r="F195" s="16"/>
      <c r="G195" s="16"/>
      <c r="H195" s="16"/>
      <c r="I195" s="16"/>
      <c r="J195" s="7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9"/>
      <c r="B196" s="16"/>
      <c r="C196" s="16"/>
      <c r="D196" s="16"/>
      <c r="E196" s="16"/>
      <c r="F196" s="16"/>
      <c r="G196" s="16"/>
      <c r="H196" s="16"/>
      <c r="I196" s="16"/>
      <c r="J196" s="7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9"/>
      <c r="B197" s="16"/>
      <c r="C197" s="16"/>
      <c r="D197" s="16"/>
      <c r="E197" s="16"/>
      <c r="F197" s="16"/>
      <c r="G197" s="16"/>
      <c r="H197" s="16"/>
      <c r="I197" s="16"/>
      <c r="J197" s="7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9"/>
      <c r="B198" s="16"/>
      <c r="C198" s="16"/>
      <c r="D198" s="16"/>
      <c r="E198" s="16"/>
      <c r="F198" s="16"/>
      <c r="G198" s="16"/>
      <c r="H198" s="16"/>
      <c r="I198" s="16"/>
      <c r="J198" s="7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9"/>
      <c r="B199" s="16"/>
      <c r="C199" s="16"/>
      <c r="D199" s="16"/>
      <c r="E199" s="16"/>
      <c r="F199" s="16"/>
      <c r="G199" s="16"/>
      <c r="H199" s="16"/>
      <c r="I199" s="16"/>
      <c r="J199" s="7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20"/>
      <c r="B200" s="17"/>
      <c r="C200" s="17"/>
      <c r="D200" s="17"/>
      <c r="E200" s="17"/>
      <c r="F200" s="17"/>
      <c r="G200" s="17"/>
      <c r="H200" s="17"/>
      <c r="I200" s="17"/>
      <c r="J200" s="9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J1"/>
  </mergeCells>
  <dataValidations count="3">
    <dataValidation type="list" sqref="D4:D200" xr:uid="{00000000-0002-0000-0300-000000000000}">
      <formula1>"Read + paper notes,Self-explain,Teach-back,Past questions,Revision sprint"</formula1>
    </dataValidation>
    <dataValidation type="list" sqref="F4:G200" xr:uid="{00000000-0002-0000-0300-000001000000}">
      <formula1>"Yes,No"</formula1>
    </dataValidation>
    <dataValidation type="list" sqref="H4:H200" xr:uid="{00000000-0002-0000-03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0"/>
  <sheetViews>
    <sheetView topLeftCell="A7" workbookViewId="0">
      <selection activeCell="E12" sqref="E12"/>
    </sheetView>
  </sheetViews>
  <sheetFormatPr baseColWidth="10" defaultColWidth="8.83203125" defaultRowHeight="14"/>
  <cols>
    <col min="1" max="10" width="18" customWidth="1"/>
  </cols>
  <sheetData>
    <row r="1" spans="1:26" ht="21">
      <c r="A1" s="39" t="s">
        <v>216</v>
      </c>
      <c r="B1" s="40"/>
      <c r="C1" s="40"/>
      <c r="D1" s="40"/>
      <c r="E1" s="40"/>
      <c r="F1" s="40"/>
      <c r="G1" s="40"/>
      <c r="H1" s="40"/>
      <c r="I1" s="40"/>
      <c r="J1" s="41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>
      <c r="A3" s="42" t="s">
        <v>217</v>
      </c>
      <c r="B3" s="43" t="s">
        <v>218</v>
      </c>
      <c r="C3" s="44"/>
      <c r="D3" s="14"/>
      <c r="E3" s="45" t="s">
        <v>219</v>
      </c>
      <c r="F3" s="46"/>
      <c r="G3" s="47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75">
      <c r="A4" s="4" t="s">
        <v>220</v>
      </c>
      <c r="B4" s="15" t="s">
        <v>221</v>
      </c>
      <c r="C4" s="5"/>
      <c r="D4" s="14"/>
      <c r="E4" s="4" t="s">
        <v>6</v>
      </c>
      <c r="F4" s="15" t="s">
        <v>222</v>
      </c>
      <c r="G4" s="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75">
      <c r="A5" s="6" t="s">
        <v>223</v>
      </c>
      <c r="B5" s="16" t="s">
        <v>224</v>
      </c>
      <c r="C5" s="7"/>
      <c r="D5" s="14"/>
      <c r="E5" s="6" t="s">
        <v>9</v>
      </c>
      <c r="F5" s="16" t="s">
        <v>225</v>
      </c>
      <c r="G5" s="7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75">
      <c r="A6" s="6" t="s">
        <v>226</v>
      </c>
      <c r="B6" s="16" t="s">
        <v>227</v>
      </c>
      <c r="C6" s="7"/>
      <c r="D6" s="14"/>
      <c r="E6" s="6" t="s">
        <v>12</v>
      </c>
      <c r="F6" s="16" t="s">
        <v>228</v>
      </c>
      <c r="G6" s="7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75">
      <c r="A7" s="6" t="s">
        <v>229</v>
      </c>
      <c r="B7" s="16" t="s">
        <v>230</v>
      </c>
      <c r="C7" s="7"/>
      <c r="D7" s="14"/>
      <c r="E7" s="6" t="s">
        <v>15</v>
      </c>
      <c r="F7" s="16" t="s">
        <v>231</v>
      </c>
      <c r="G7" s="7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45">
      <c r="A8" s="8" t="s">
        <v>214</v>
      </c>
      <c r="B8" s="17" t="s">
        <v>232</v>
      </c>
      <c r="C8" s="9"/>
      <c r="D8" s="14"/>
      <c r="E8" s="8" t="s">
        <v>17</v>
      </c>
      <c r="F8" s="17" t="s">
        <v>233</v>
      </c>
      <c r="G8" s="9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60">
      <c r="A9" s="14" t="s">
        <v>234</v>
      </c>
      <c r="B9" s="14" t="s">
        <v>235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>
      <c r="A11" s="48" t="s">
        <v>236</v>
      </c>
      <c r="B11" s="49"/>
      <c r="C11" s="50"/>
      <c r="D11" s="14"/>
      <c r="E11" s="51" t="s">
        <v>237</v>
      </c>
      <c r="F11" s="52"/>
      <c r="G11" s="5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>
      <c r="A12" s="4" t="s">
        <v>6</v>
      </c>
      <c r="B12" s="15" t="s">
        <v>238</v>
      </c>
      <c r="C12" s="5"/>
      <c r="D12" s="14"/>
      <c r="E12" s="4" t="s">
        <v>6</v>
      </c>
      <c r="F12" s="15" t="s">
        <v>239</v>
      </c>
      <c r="G12" s="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30">
      <c r="A13" s="6" t="s">
        <v>9</v>
      </c>
      <c r="B13" s="16" t="s">
        <v>240</v>
      </c>
      <c r="C13" s="7"/>
      <c r="D13" s="14"/>
      <c r="E13" s="6" t="s">
        <v>9</v>
      </c>
      <c r="F13" s="16" t="s">
        <v>241</v>
      </c>
      <c r="G13" s="7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30">
      <c r="A14" s="6" t="s">
        <v>12</v>
      </c>
      <c r="B14" s="16" t="s">
        <v>242</v>
      </c>
      <c r="C14" s="7"/>
      <c r="D14" s="14"/>
      <c r="E14" s="6" t="s">
        <v>12</v>
      </c>
      <c r="F14" s="16" t="s">
        <v>243</v>
      </c>
      <c r="G14" s="7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30">
      <c r="A15" s="6" t="s">
        <v>15</v>
      </c>
      <c r="B15" s="16" t="s">
        <v>244</v>
      </c>
      <c r="C15" s="7"/>
      <c r="D15" s="14"/>
      <c r="E15" s="6" t="s">
        <v>15</v>
      </c>
      <c r="F15" s="16" t="s">
        <v>245</v>
      </c>
      <c r="G15" s="7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30">
      <c r="A16" s="8" t="s">
        <v>17</v>
      </c>
      <c r="B16" s="17" t="s">
        <v>246</v>
      </c>
      <c r="C16" s="9"/>
      <c r="D16" s="14"/>
      <c r="E16" s="8" t="s">
        <v>17</v>
      </c>
      <c r="F16" s="17" t="s">
        <v>247</v>
      </c>
      <c r="G16" s="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5">
    <mergeCell ref="A1:J1"/>
    <mergeCell ref="A3:C3"/>
    <mergeCell ref="E3:G3"/>
    <mergeCell ref="A11:C11"/>
    <mergeCell ref="E11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0"/>
  <sheetViews>
    <sheetView workbookViewId="0">
      <selection sqref="A1:H1"/>
    </sheetView>
  </sheetViews>
  <sheetFormatPr baseColWidth="10" defaultColWidth="8.83203125" defaultRowHeight="14"/>
  <cols>
    <col min="1" max="2" width="34" customWidth="1"/>
  </cols>
  <sheetData>
    <row r="1" spans="1:26" ht="21">
      <c r="A1" s="39" t="s">
        <v>248</v>
      </c>
      <c r="B1" s="40"/>
      <c r="C1" s="40"/>
      <c r="D1" s="40"/>
      <c r="E1" s="40"/>
      <c r="F1" s="40"/>
      <c r="G1" s="40"/>
      <c r="H1" s="41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">
      <c r="A3" s="10" t="s">
        <v>249</v>
      </c>
      <c r="B3" s="11" t="s">
        <v>250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30">
      <c r="A4" s="6" t="s">
        <v>251</v>
      </c>
      <c r="B4" s="7" t="s">
        <v>252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0">
      <c r="A5" s="6" t="s">
        <v>253</v>
      </c>
      <c r="B5" s="7" t="s">
        <v>254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0">
      <c r="A6" s="6" t="s">
        <v>255</v>
      </c>
      <c r="B6" s="7" t="s">
        <v>256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30">
      <c r="A7" s="6" t="s">
        <v>257</v>
      </c>
      <c r="B7" s="7" t="s">
        <v>258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30">
      <c r="A8" s="6" t="s">
        <v>259</v>
      </c>
      <c r="B8" s="7" t="s">
        <v>260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45">
      <c r="A9" s="6" t="s">
        <v>3</v>
      </c>
      <c r="B9" s="7" t="s">
        <v>261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30">
      <c r="A10" s="6" t="s">
        <v>262</v>
      </c>
      <c r="B10" s="7" t="s">
        <v>263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45">
      <c r="A11" s="6" t="s">
        <v>218</v>
      </c>
      <c r="B11" s="7" t="s">
        <v>264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45">
      <c r="A12" s="8" t="s">
        <v>265</v>
      </c>
      <c r="B12" s="9" t="s">
        <v>266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C13" sqref="C13"/>
    </sheetView>
  </sheetViews>
  <sheetFormatPr baseColWidth="10" defaultColWidth="8.83203125" defaultRowHeight="14"/>
  <cols>
    <col min="1" max="4" width="18" customWidth="1"/>
  </cols>
  <sheetData>
    <row r="1" spans="1:4" ht="15">
      <c r="A1" s="1" t="s">
        <v>94</v>
      </c>
      <c r="B1" s="2" t="s">
        <v>267</v>
      </c>
      <c r="C1" s="2" t="s">
        <v>96</v>
      </c>
      <c r="D1" s="3" t="s">
        <v>268</v>
      </c>
    </row>
    <row r="2" spans="1:4">
      <c r="A2" t="s">
        <v>103</v>
      </c>
      <c r="B2" t="s">
        <v>6</v>
      </c>
      <c r="C2" t="s">
        <v>104</v>
      </c>
      <c r="D2" t="s">
        <v>114</v>
      </c>
    </row>
    <row r="3" spans="1:4">
      <c r="A3" t="s">
        <v>269</v>
      </c>
      <c r="B3" t="s">
        <v>9</v>
      </c>
      <c r="C3" t="s">
        <v>54</v>
      </c>
      <c r="D3" t="s">
        <v>80</v>
      </c>
    </row>
    <row r="4" spans="1:4">
      <c r="A4" t="s">
        <v>270</v>
      </c>
      <c r="B4" t="s">
        <v>12</v>
      </c>
      <c r="C4" t="s">
        <v>150</v>
      </c>
      <c r="D4" t="s">
        <v>124</v>
      </c>
    </row>
    <row r="5" spans="1:4">
      <c r="A5" t="s">
        <v>214</v>
      </c>
      <c r="B5" t="s">
        <v>15</v>
      </c>
      <c r="C5" t="s">
        <v>271</v>
      </c>
      <c r="D5" t="s">
        <v>272</v>
      </c>
    </row>
    <row r="6" spans="1:4">
      <c r="A6" t="s">
        <v>273</v>
      </c>
      <c r="B6" t="s">
        <v>17</v>
      </c>
      <c r="C6" t="s">
        <v>274</v>
      </c>
      <c r="D6" t="s">
        <v>275</v>
      </c>
    </row>
    <row r="7" spans="1:4">
      <c r="A7" t="s">
        <v>276</v>
      </c>
    </row>
    <row r="8" spans="1:4">
      <c r="A8" t="s">
        <v>23</v>
      </c>
    </row>
    <row r="9" spans="1:4">
      <c r="A9" t="s">
        <v>277</v>
      </c>
    </row>
  </sheetData>
  <pageMargins left="0.7" right="0.7" top="0.75" bottom="0.75" header="0.3" footer="0.3"/>
  <ignoredErrors>
    <ignoredError sqref="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Unit Planner</vt:lpstr>
      <vt:lpstr>Study Tracker</vt:lpstr>
      <vt:lpstr>Session Log</vt:lpstr>
      <vt:lpstr>Exam Toolkit</vt:lpstr>
      <vt:lpstr>Template Guide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Apsey, N, Ms [30514967@sun.ac.za]</cp:lastModifiedBy>
  <dcterms:created xsi:type="dcterms:W3CDTF">2026-04-02T17:22:47Z</dcterms:created>
  <dcterms:modified xsi:type="dcterms:W3CDTF">2026-04-02T17:22:47Z</dcterms:modified>
</cp:coreProperties>
</file>